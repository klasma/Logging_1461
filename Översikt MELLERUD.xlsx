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46166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46166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46166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46166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46166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46166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46166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46166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46166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46166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46166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46166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46166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46166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46166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46166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23546-2026</t>
        </is>
      </c>
      <c r="B18" s="1" t="n">
        <v>46163.56109953704</v>
      </c>
      <c r="C18" s="1" t="n">
        <v>46166</v>
      </c>
      <c r="D18" t="inlineStr">
        <is>
          <t>VÄSTRA GÖTALANDS LÄN</t>
        </is>
      </c>
      <c r="E18" t="inlineStr">
        <is>
          <t>MELLERUD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HYPERLINK("https://klasma.github.io/Logging_1461/artfynd/A 23546-2026 artfynd.xlsx", "A 23546-2026")</f>
        <v/>
      </c>
      <c r="T18">
        <f>HYPERLINK("https://klasma.github.io/Logging_1461/kartor/A 23546-2026 karta.png", "A 23546-2026")</f>
        <v/>
      </c>
      <c r="V18">
        <f>HYPERLINK("https://klasma.github.io/Logging_1461/klagomål/A 23546-2026 FSC-klagomål.docx", "A 23546-2026")</f>
        <v/>
      </c>
      <c r="W18">
        <f>HYPERLINK("https://klasma.github.io/Logging_1461/klagomålsmail/A 23546-2026 FSC-klagomål mail.docx", "A 23546-2026")</f>
        <v/>
      </c>
      <c r="X18">
        <f>HYPERLINK("https://klasma.github.io/Logging_1461/tillsyn/A 23546-2026 tillsynsbegäran.docx", "A 23546-2026")</f>
        <v/>
      </c>
      <c r="Y18">
        <f>HYPERLINK("https://klasma.github.io/Logging_1461/tillsynsmail/A 23546-2026 tillsynsbegäran mail.docx", "A 23546-2026")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46166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43531-2025</t>
        </is>
      </c>
      <c r="B20" s="1" t="n">
        <v>45911</v>
      </c>
      <c r="C20" s="1" t="n">
        <v>46166</v>
      </c>
      <c r="D20" t="inlineStr">
        <is>
          <t>VÄSTRA GÖTALANDS LÄN</t>
        </is>
      </c>
      <c r="E20" t="inlineStr">
        <is>
          <t>MELLERUD</t>
        </is>
      </c>
      <c r="F20" t="inlineStr">
        <is>
          <t>Övriga Aktiebolag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HYPERLINK("https://klasma.github.io/Logging_1461/artfynd/A 43531-2025 artfynd.xlsx", "A 43531-2025")</f>
        <v/>
      </c>
      <c r="T20">
        <f>HYPERLINK("https://klasma.github.io/Logging_1461/kartor/A 43531-2025 karta.png", "A 43531-2025")</f>
        <v/>
      </c>
      <c r="V20">
        <f>HYPERLINK("https://klasma.github.io/Logging_1461/klagomål/A 43531-2025 FSC-klagomål.docx", "A 43531-2025")</f>
        <v/>
      </c>
      <c r="W20">
        <f>HYPERLINK("https://klasma.github.io/Logging_1461/klagomålsmail/A 43531-2025 FSC-klagomål mail.docx", "A 43531-2025")</f>
        <v/>
      </c>
      <c r="X20">
        <f>HYPERLINK("https://klasma.github.io/Logging_1461/tillsyn/A 43531-2025 tillsynsbegäran.docx", "A 43531-2025")</f>
        <v/>
      </c>
      <c r="Y20">
        <f>HYPERLINK("https://klasma.github.io/Logging_1461/tillsynsmail/A 43531-2025 tillsynsbegäran mail.docx", "A 43531-2025")</f>
        <v/>
      </c>
      <c r="Z20">
        <f>HYPERLINK("https://klasma.github.io/Logging_1461/fåglar/A 43531-2025 prioriterade fågelarter.docx", "A 43531-2025")</f>
        <v/>
      </c>
    </row>
    <row r="21" ht="15" customHeight="1">
      <c r="A21" t="inlineStr">
        <is>
          <t>A 63857-2025</t>
        </is>
      </c>
      <c r="B21" s="1" t="n">
        <v>46020.48369212963</v>
      </c>
      <c r="C21" s="1" t="n">
        <v>46166</v>
      </c>
      <c r="D21" t="inlineStr">
        <is>
          <t>VÄSTRA GÖTALANDS LÄN</t>
        </is>
      </c>
      <c r="E21" t="inlineStr">
        <is>
          <t>MELLERUD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HYPERLINK("https://klasma.github.io/Logging_1461/artfynd/A 63857-2025 artfynd.xlsx", "A 63857-2025")</f>
        <v/>
      </c>
      <c r="T21">
        <f>HYPERLINK("https://klasma.github.io/Logging_1461/kartor/A 63857-2025 karta.png", "A 63857-2025")</f>
        <v/>
      </c>
      <c r="V21">
        <f>HYPERLINK("https://klasma.github.io/Logging_1461/klagomål/A 63857-2025 FSC-klagomål.docx", "A 63857-2025")</f>
        <v/>
      </c>
      <c r="W21">
        <f>HYPERLINK("https://klasma.github.io/Logging_1461/klagomålsmail/A 63857-2025 FSC-klagomål mail.docx", "A 63857-2025")</f>
        <v/>
      </c>
      <c r="X21">
        <f>HYPERLINK("https://klasma.github.io/Logging_1461/tillsyn/A 63857-2025 tillsynsbegäran.docx", "A 63857-2025")</f>
        <v/>
      </c>
      <c r="Y21">
        <f>HYPERLINK("https://klasma.github.io/Logging_1461/tillsynsmail/A 63857-2025 tillsynsbegäran mail.docx", "A 63857-2025")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46166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46166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46166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46166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46166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46166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46166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46166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46166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46166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46166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46166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46166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46166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46166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46166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46166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46166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46166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46166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46166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46166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46166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46166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46166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46166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46166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46166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46166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46166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46166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46166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46166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46166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46166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46166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46166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61060-2022</t>
        </is>
      </c>
      <c r="B60" s="1" t="n">
        <v>44915</v>
      </c>
      <c r="C60" s="1" t="n">
        <v>46166</v>
      </c>
      <c r="D60" t="inlineStr">
        <is>
          <t>VÄSTRA GÖTALANDS LÄN</t>
        </is>
      </c>
      <c r="E60" t="inlineStr">
        <is>
          <t>MELLERUD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61061-2022</t>
        </is>
      </c>
      <c r="B61" s="1" t="n">
        <v>44915.34159722222</v>
      </c>
      <c r="C61" s="1" t="n">
        <v>46166</v>
      </c>
      <c r="D61" t="inlineStr">
        <is>
          <t>VÄSTRA GÖTALANDS LÄN</t>
        </is>
      </c>
      <c r="E61" t="inlineStr">
        <is>
          <t>MELLERUD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48048-2024</t>
        </is>
      </c>
      <c r="B62" s="1" t="n">
        <v>45589.53059027778</v>
      </c>
      <c r="C62" s="1" t="n">
        <v>46166</v>
      </c>
      <c r="D62" t="inlineStr">
        <is>
          <t>VÄSTRA GÖTALANDS LÄN</t>
        </is>
      </c>
      <c r="E62" t="inlineStr">
        <is>
          <t>MELLERUD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3989-2023</t>
        </is>
      </c>
      <c r="B63" s="1" t="n">
        <v>44952</v>
      </c>
      <c r="C63" s="1" t="n">
        <v>46166</v>
      </c>
      <c r="D63" t="inlineStr">
        <is>
          <t>VÄSTRA GÖTALANDS LÄN</t>
        </is>
      </c>
      <c r="E63" t="inlineStr">
        <is>
          <t>MELLERUD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4054-2025</t>
        </is>
      </c>
      <c r="B64" s="1" t="n">
        <v>45684.61994212963</v>
      </c>
      <c r="C64" s="1" t="n">
        <v>46166</v>
      </c>
      <c r="D64" t="inlineStr">
        <is>
          <t>VÄSTRA GÖTALANDS LÄN</t>
        </is>
      </c>
      <c r="E64" t="inlineStr">
        <is>
          <t>MELLERUD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9374-2023</t>
        </is>
      </c>
      <c r="B65" s="1" t="n">
        <v>44981.35020833334</v>
      </c>
      <c r="C65" s="1" t="n">
        <v>46166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9152-2024</t>
        </is>
      </c>
      <c r="B66" s="1" t="n">
        <v>45357</v>
      </c>
      <c r="C66" s="1" t="n">
        <v>46166</v>
      </c>
      <c r="D66" t="inlineStr">
        <is>
          <t>VÄSTRA GÖTALANDS LÄN</t>
        </is>
      </c>
      <c r="E66" t="inlineStr">
        <is>
          <t>MELLERUD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46166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56025-2024</t>
        </is>
      </c>
      <c r="B68" s="1" t="n">
        <v>45624.28996527778</v>
      </c>
      <c r="C68" s="1" t="n">
        <v>46166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16744-2023</t>
        </is>
      </c>
      <c r="B69" s="1" t="n">
        <v>45030</v>
      </c>
      <c r="C69" s="1" t="n">
        <v>46166</v>
      </c>
      <c r="D69" t="inlineStr">
        <is>
          <t>VÄSTRA GÖTALANDS LÄN</t>
        </is>
      </c>
      <c r="E69" t="inlineStr">
        <is>
          <t>MELLERUD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7152-2024</t>
        </is>
      </c>
      <c r="B70" s="1" t="n">
        <v>45344.40953703703</v>
      </c>
      <c r="C70" s="1" t="n">
        <v>46166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51173-2023</t>
        </is>
      </c>
      <c r="B71" s="1" t="n">
        <v>45212</v>
      </c>
      <c r="C71" s="1" t="n">
        <v>46166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32549-2024</t>
        </is>
      </c>
      <c r="B72" s="1" t="n">
        <v>45513.50513888889</v>
      </c>
      <c r="C72" s="1" t="n">
        <v>46166</v>
      </c>
      <c r="D72" t="inlineStr">
        <is>
          <t>VÄSTRA GÖTALANDS LÄN</t>
        </is>
      </c>
      <c r="E72" t="inlineStr">
        <is>
          <t>MELLERUD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9456-2024</t>
        </is>
      </c>
      <c r="B73" s="1" t="n">
        <v>45359.5290625</v>
      </c>
      <c r="C73" s="1" t="n">
        <v>46166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18440-2025</t>
        </is>
      </c>
      <c r="B74" s="1" t="n">
        <v>45762.65361111111</v>
      </c>
      <c r="C74" s="1" t="n">
        <v>46166</v>
      </c>
      <c r="D74" t="inlineStr">
        <is>
          <t>VÄSTRA GÖTALANDS LÄN</t>
        </is>
      </c>
      <c r="E74" t="inlineStr">
        <is>
          <t>MELLERUD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33388-2022</t>
        </is>
      </c>
      <c r="B75" s="1" t="n">
        <v>44788</v>
      </c>
      <c r="C75" s="1" t="n">
        <v>46166</v>
      </c>
      <c r="D75" t="inlineStr">
        <is>
          <t>VÄSTRA GÖTALANDS LÄN</t>
        </is>
      </c>
      <c r="E75" t="inlineStr">
        <is>
          <t>MELLERUD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24978-2022</t>
        </is>
      </c>
      <c r="B76" s="1" t="n">
        <v>44728</v>
      </c>
      <c r="C76" s="1" t="n">
        <v>46166</v>
      </c>
      <c r="D76" t="inlineStr">
        <is>
          <t>VÄSTRA GÖTALANDS LÄN</t>
        </is>
      </c>
      <c r="E76" t="inlineStr">
        <is>
          <t>MELLERUD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46917-2022</t>
        </is>
      </c>
      <c r="B77" s="1" t="n">
        <v>44851.67258101852</v>
      </c>
      <c r="C77" s="1" t="n">
        <v>46166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8155-2023</t>
        </is>
      </c>
      <c r="B78" s="1" t="n">
        <v>44974</v>
      </c>
      <c r="C78" s="1" t="n">
        <v>46166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37267-2024</t>
        </is>
      </c>
      <c r="B79" s="1" t="n">
        <v>45540.38583333333</v>
      </c>
      <c r="C79" s="1" t="n">
        <v>46166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12157-2022</t>
        </is>
      </c>
      <c r="B80" s="1" t="n">
        <v>44636</v>
      </c>
      <c r="C80" s="1" t="n">
        <v>46166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14596-2022</t>
        </is>
      </c>
      <c r="B81" s="1" t="n">
        <v>44655</v>
      </c>
      <c r="C81" s="1" t="n">
        <v>46166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13800-2023</t>
        </is>
      </c>
      <c r="B82" s="1" t="n">
        <v>45007</v>
      </c>
      <c r="C82" s="1" t="n">
        <v>46166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46166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7154-2024</t>
        </is>
      </c>
      <c r="B84" s="1" t="n">
        <v>45344</v>
      </c>
      <c r="C84" s="1" t="n">
        <v>46166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39535-2024</t>
        </is>
      </c>
      <c r="B85" s="1" t="n">
        <v>45551.87788194444</v>
      </c>
      <c r="C85" s="1" t="n">
        <v>46166</v>
      </c>
      <c r="D85" t="inlineStr">
        <is>
          <t>VÄSTRA GÖTALANDS LÄN</t>
        </is>
      </c>
      <c r="E85" t="inlineStr">
        <is>
          <t>MELLERUD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7443-2023</t>
        </is>
      </c>
      <c r="B86" s="1" t="n">
        <v>44971</v>
      </c>
      <c r="C86" s="1" t="n">
        <v>46166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4416-2025</t>
        </is>
      </c>
      <c r="B87" s="1" t="n">
        <v>45686.46358796296</v>
      </c>
      <c r="C87" s="1" t="n">
        <v>46166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46166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46166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17685-2024</t>
        </is>
      </c>
      <c r="B90" s="1" t="n">
        <v>45418.43171296296</v>
      </c>
      <c r="C90" s="1" t="n">
        <v>46166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46166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46166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59865-2024</t>
        </is>
      </c>
      <c r="B93" s="1" t="n">
        <v>45639.84203703704</v>
      </c>
      <c r="C93" s="1" t="n">
        <v>46166</v>
      </c>
      <c r="D93" t="inlineStr">
        <is>
          <t>VÄSTRA GÖTALANDS LÄN</t>
        </is>
      </c>
      <c r="E93" t="inlineStr">
        <is>
          <t>MELLERUD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16656-2022</t>
        </is>
      </c>
      <c r="B94" s="1" t="n">
        <v>44672.70159722222</v>
      </c>
      <c r="C94" s="1" t="n">
        <v>46166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50334-2024</t>
        </is>
      </c>
      <c r="B95" s="1" t="n">
        <v>45600.7067824074</v>
      </c>
      <c r="C95" s="1" t="n">
        <v>46166</v>
      </c>
      <c r="D95" t="inlineStr">
        <is>
          <t>VÄSTRA GÖTALANDS LÄN</t>
        </is>
      </c>
      <c r="E95" t="inlineStr">
        <is>
          <t>MELLERUD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25109-2022</t>
        </is>
      </c>
      <c r="B96" s="1" t="n">
        <v>44729.45575231482</v>
      </c>
      <c r="C96" s="1" t="n">
        <v>46166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22364-2026</t>
        </is>
      </c>
      <c r="B97" s="1" t="n">
        <v>46154.59831018518</v>
      </c>
      <c r="C97" s="1" t="n">
        <v>46166</v>
      </c>
      <c r="D97" t="inlineStr">
        <is>
          <t>VÄSTRA GÖTALANDS LÄN</t>
        </is>
      </c>
      <c r="E97" t="inlineStr">
        <is>
          <t>MELLERUD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20781-2026</t>
        </is>
      </c>
      <c r="B98" s="1" t="n">
        <v>46141</v>
      </c>
      <c r="C98" s="1" t="n">
        <v>46166</v>
      </c>
      <c r="D98" t="inlineStr">
        <is>
          <t>VÄSTRA GÖTALANDS LÄN</t>
        </is>
      </c>
      <c r="E98" t="inlineStr">
        <is>
          <t>MELLERUD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38653-2025</t>
        </is>
      </c>
      <c r="B99" s="1" t="n">
        <v>45884.59535879629</v>
      </c>
      <c r="C99" s="1" t="n">
        <v>46166</v>
      </c>
      <c r="D99" t="inlineStr">
        <is>
          <t>VÄSTRA GÖTALANDS LÄN</t>
        </is>
      </c>
      <c r="E99" t="inlineStr">
        <is>
          <t>MELLERUD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35351-2025</t>
        </is>
      </c>
      <c r="B100" s="1" t="n">
        <v>45854.64826388889</v>
      </c>
      <c r="C100" s="1" t="n">
        <v>46166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46166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35347-2025</t>
        </is>
      </c>
      <c r="B102" s="1" t="n">
        <v>45854.62063657407</v>
      </c>
      <c r="C102" s="1" t="n">
        <v>46166</v>
      </c>
      <c r="D102" t="inlineStr">
        <is>
          <t>VÄSTRA GÖTALANDS LÄN</t>
        </is>
      </c>
      <c r="E102" t="inlineStr">
        <is>
          <t>MELLERUD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35343-2025</t>
        </is>
      </c>
      <c r="B103" s="1" t="n">
        <v>45854.60905092592</v>
      </c>
      <c r="C103" s="1" t="n">
        <v>46166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35349-2025</t>
        </is>
      </c>
      <c r="B104" s="1" t="n">
        <v>45854.63576388889</v>
      </c>
      <c r="C104" s="1" t="n">
        <v>46166</v>
      </c>
      <c r="D104" t="inlineStr">
        <is>
          <t>VÄSTRA GÖTALANDS LÄN</t>
        </is>
      </c>
      <c r="E104" t="inlineStr">
        <is>
          <t>MELLERUD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22337-2026</t>
        </is>
      </c>
      <c r="B105" s="1" t="n">
        <v>46154.57157407407</v>
      </c>
      <c r="C105" s="1" t="n">
        <v>46166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11442-2024</t>
        </is>
      </c>
      <c r="B106" s="1" t="n">
        <v>45372.55474537037</v>
      </c>
      <c r="C106" s="1" t="n">
        <v>46166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46166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15227-2025</t>
        </is>
      </c>
      <c r="B108" s="1" t="n">
        <v>45744.59334490741</v>
      </c>
      <c r="C108" s="1" t="n">
        <v>46166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26639-2025</t>
        </is>
      </c>
      <c r="B109" s="1" t="n">
        <v>45810.36209490741</v>
      </c>
      <c r="C109" s="1" t="n">
        <v>46166</v>
      </c>
      <c r="D109" t="inlineStr">
        <is>
          <t>VÄSTRA GÖTALANDS LÄN</t>
        </is>
      </c>
      <c r="E109" t="inlineStr">
        <is>
          <t>MELLERUD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36141-2025</t>
        </is>
      </c>
      <c r="B110" s="1" t="n">
        <v>45866.67653935185</v>
      </c>
      <c r="C110" s="1" t="n">
        <v>46166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36145-2025</t>
        </is>
      </c>
      <c r="B111" s="1" t="n">
        <v>45866.84422453704</v>
      </c>
      <c r="C111" s="1" t="n">
        <v>46166</v>
      </c>
      <c r="D111" t="inlineStr">
        <is>
          <t>VÄSTRA GÖTALANDS LÄN</t>
        </is>
      </c>
      <c r="E111" t="inlineStr">
        <is>
          <t>MELLERUD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36146-2025</t>
        </is>
      </c>
      <c r="B112" s="1" t="n">
        <v>45866.8474074074</v>
      </c>
      <c r="C112" s="1" t="n">
        <v>46166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36048-2025</t>
        </is>
      </c>
      <c r="B113" s="1" t="n">
        <v>45866.36832175926</v>
      </c>
      <c r="C113" s="1" t="n">
        <v>46166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16873-2026</t>
        </is>
      </c>
      <c r="B114" s="1" t="n">
        <v>46113</v>
      </c>
      <c r="C114" s="1" t="n">
        <v>46166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36138-2025</t>
        </is>
      </c>
      <c r="B115" s="1" t="n">
        <v>45866.64443287037</v>
      </c>
      <c r="C115" s="1" t="n">
        <v>46166</v>
      </c>
      <c r="D115" t="inlineStr">
        <is>
          <t>VÄSTRA GÖTALANDS LÄN</t>
        </is>
      </c>
      <c r="E115" t="inlineStr">
        <is>
          <t>MELLERUD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53307-2024</t>
        </is>
      </c>
      <c r="B116" s="1" t="n">
        <v>45614.39129629629</v>
      </c>
      <c r="C116" s="1" t="n">
        <v>46166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40288-2025</t>
        </is>
      </c>
      <c r="B117" s="1" t="n">
        <v>45895.38059027777</v>
      </c>
      <c r="C117" s="1" t="n">
        <v>46166</v>
      </c>
      <c r="D117" t="inlineStr">
        <is>
          <t>VÄSTRA GÖTALANDS LÄN</t>
        </is>
      </c>
      <c r="E117" t="inlineStr">
        <is>
          <t>MELLERUD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36123-2025</t>
        </is>
      </c>
      <c r="B118" s="1" t="n">
        <v>45866.61204861111</v>
      </c>
      <c r="C118" s="1" t="n">
        <v>46166</v>
      </c>
      <c r="D118" t="inlineStr">
        <is>
          <t>VÄSTRA GÖTALANDS LÄN</t>
        </is>
      </c>
      <c r="E118" t="inlineStr">
        <is>
          <t>MELLERUD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39728-2023</t>
        </is>
      </c>
      <c r="B119" s="1" t="n">
        <v>45167.63978009259</v>
      </c>
      <c r="C119" s="1" t="n">
        <v>46166</v>
      </c>
      <c r="D119" t="inlineStr">
        <is>
          <t>VÄSTRA GÖTALANDS LÄN</t>
        </is>
      </c>
      <c r="E119" t="inlineStr">
        <is>
          <t>MELLERUD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17543-2023</t>
        </is>
      </c>
      <c r="B120" s="1" t="n">
        <v>45036.49178240741</v>
      </c>
      <c r="C120" s="1" t="n">
        <v>46166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36963-2025</t>
        </is>
      </c>
      <c r="B121" s="1" t="n">
        <v>45874.63193287037</v>
      </c>
      <c r="C121" s="1" t="n">
        <v>46166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27908-2025</t>
        </is>
      </c>
      <c r="B122" s="1" t="n">
        <v>45817.4727199074</v>
      </c>
      <c r="C122" s="1" t="n">
        <v>46166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52471-2023</t>
        </is>
      </c>
      <c r="B123" s="1" t="n">
        <v>45225</v>
      </c>
      <c r="C123" s="1" t="n">
        <v>46166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38441-2025</t>
        </is>
      </c>
      <c r="B124" s="1" t="n">
        <v>45883.64910879629</v>
      </c>
      <c r="C124" s="1" t="n">
        <v>46166</v>
      </c>
      <c r="D124" t="inlineStr">
        <is>
          <t>VÄSTRA GÖTALANDS LÄN</t>
        </is>
      </c>
      <c r="E124" t="inlineStr">
        <is>
          <t>MELLERUD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21977-2026</t>
        </is>
      </c>
      <c r="B125" s="1" t="n">
        <v>46153</v>
      </c>
      <c r="C125" s="1" t="n">
        <v>46166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53254-2022</t>
        </is>
      </c>
      <c r="B126" s="1" t="n">
        <v>44876.69381944444</v>
      </c>
      <c r="C126" s="1" t="n">
        <v>46166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38040-2025</t>
        </is>
      </c>
      <c r="B127" s="1" t="n">
        <v>45882.38126157408</v>
      </c>
      <c r="C127" s="1" t="n">
        <v>46166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38663-2025</t>
        </is>
      </c>
      <c r="B128" s="1" t="n">
        <v>45884.6134375</v>
      </c>
      <c r="C128" s="1" t="n">
        <v>46166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42723-2025</t>
        </is>
      </c>
      <c r="B129" s="1" t="n">
        <v>45908.40037037037</v>
      </c>
      <c r="C129" s="1" t="n">
        <v>46166</v>
      </c>
      <c r="D129" t="inlineStr">
        <is>
          <t>VÄSTRA GÖTALANDS LÄN</t>
        </is>
      </c>
      <c r="E129" t="inlineStr">
        <is>
          <t>MELLERUD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43428-2025</t>
        </is>
      </c>
      <c r="B130" s="1" t="n">
        <v>45911.41943287037</v>
      </c>
      <c r="C130" s="1" t="n">
        <v>46166</v>
      </c>
      <c r="D130" t="inlineStr">
        <is>
          <t>VÄSTRA GÖTALANDS LÄN</t>
        </is>
      </c>
      <c r="E130" t="inlineStr">
        <is>
          <t>MELLERUD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43523-2025</t>
        </is>
      </c>
      <c r="B131" s="1" t="n">
        <v>45911</v>
      </c>
      <c r="C131" s="1" t="n">
        <v>46166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1356-2025</t>
        </is>
      </c>
      <c r="B132" s="1" t="n">
        <v>45667.63302083333</v>
      </c>
      <c r="C132" s="1" t="n">
        <v>46166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46166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46166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1921-2025</t>
        </is>
      </c>
      <c r="B135" s="1" t="n">
        <v>45671.67623842593</v>
      </c>
      <c r="C135" s="1" t="n">
        <v>46166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46166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46166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60996-2022</t>
        </is>
      </c>
      <c r="B138" s="1" t="n">
        <v>44914</v>
      </c>
      <c r="C138" s="1" t="n">
        <v>46166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44600-2025</t>
        </is>
      </c>
      <c r="B139" s="1" t="n">
        <v>45917.43494212963</v>
      </c>
      <c r="C139" s="1" t="n">
        <v>46166</v>
      </c>
      <c r="D139" t="inlineStr">
        <is>
          <t>VÄSTRA GÖTALANDS LÄN</t>
        </is>
      </c>
      <c r="E139" t="inlineStr">
        <is>
          <t>MELLERUD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44546-2025</t>
        </is>
      </c>
      <c r="B140" s="1" t="n">
        <v>45917.32519675926</v>
      </c>
      <c r="C140" s="1" t="n">
        <v>46166</v>
      </c>
      <c r="D140" t="inlineStr">
        <is>
          <t>VÄSTRA GÖTALANDS LÄN</t>
        </is>
      </c>
      <c r="E140" t="inlineStr">
        <is>
          <t>MELLERUD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44310-2025</t>
        </is>
      </c>
      <c r="B141" s="1" t="n">
        <v>45916.38266203704</v>
      </c>
      <c r="C141" s="1" t="n">
        <v>46166</v>
      </c>
      <c r="D141" t="inlineStr">
        <is>
          <t>VÄSTRA GÖTALANDS LÄN</t>
        </is>
      </c>
      <c r="E141" t="inlineStr">
        <is>
          <t>MELLERUD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38655-2025</t>
        </is>
      </c>
      <c r="B142" s="1" t="n">
        <v>45884.60351851852</v>
      </c>
      <c r="C142" s="1" t="n">
        <v>46166</v>
      </c>
      <c r="D142" t="inlineStr">
        <is>
          <t>VÄSTRA GÖTALANDS LÄN</t>
        </is>
      </c>
      <c r="E142" t="inlineStr">
        <is>
          <t>MELLERUD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22887-2025</t>
        </is>
      </c>
      <c r="B143" s="1" t="n">
        <v>45790.38826388889</v>
      </c>
      <c r="C143" s="1" t="n">
        <v>46166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44608-2025</t>
        </is>
      </c>
      <c r="B144" s="1" t="n">
        <v>45917.44861111111</v>
      </c>
      <c r="C144" s="1" t="n">
        <v>46166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46166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38667-2025</t>
        </is>
      </c>
      <c r="B146" s="1" t="n">
        <v>45884.61957175926</v>
      </c>
      <c r="C146" s="1" t="n">
        <v>46166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45861-2025</t>
        </is>
      </c>
      <c r="B147" s="1" t="n">
        <v>45923.64278935185</v>
      </c>
      <c r="C147" s="1" t="n">
        <v>46166</v>
      </c>
      <c r="D147" t="inlineStr">
        <is>
          <t>VÄSTRA GÖTALANDS LÄN</t>
        </is>
      </c>
      <c r="E147" t="inlineStr">
        <is>
          <t>MELLERUD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45935-2025</t>
        </is>
      </c>
      <c r="B148" s="1" t="n">
        <v>45923.90445601852</v>
      </c>
      <c r="C148" s="1" t="n">
        <v>46166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15323-2024</t>
        </is>
      </c>
      <c r="B149" s="1" t="n">
        <v>45400.66951388889</v>
      </c>
      <c r="C149" s="1" t="n">
        <v>46166</v>
      </c>
      <c r="D149" t="inlineStr">
        <is>
          <t>VÄSTRA GÖTALANDS LÄN</t>
        </is>
      </c>
      <c r="E149" t="inlineStr">
        <is>
          <t>MELLERUD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10398-2024</t>
        </is>
      </c>
      <c r="B150" s="1" t="n">
        <v>45365.67574074074</v>
      </c>
      <c r="C150" s="1" t="n">
        <v>46166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46166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46166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46668-2025</t>
        </is>
      </c>
      <c r="B153" s="1" t="n">
        <v>45926.53071759259</v>
      </c>
      <c r="C153" s="1" t="n">
        <v>46166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58861-2022</t>
        </is>
      </c>
      <c r="B154" s="1" t="n">
        <v>44903</v>
      </c>
      <c r="C154" s="1" t="n">
        <v>46166</v>
      </c>
      <c r="D154" t="inlineStr">
        <is>
          <t>VÄSTRA GÖTALANDS LÄN</t>
        </is>
      </c>
      <c r="E154" t="inlineStr">
        <is>
          <t>MELLERUD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10814-2024</t>
        </is>
      </c>
      <c r="B155" s="1" t="n">
        <v>45369</v>
      </c>
      <c r="C155" s="1" t="n">
        <v>46166</v>
      </c>
      <c r="D155" t="inlineStr">
        <is>
          <t>VÄSTRA GÖTALANDS LÄN</t>
        </is>
      </c>
      <c r="E155" t="inlineStr">
        <is>
          <t>MELLERUD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11256-2025</t>
        </is>
      </c>
      <c r="B156" s="1" t="n">
        <v>45726.39108796296</v>
      </c>
      <c r="C156" s="1" t="n">
        <v>46166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46166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39942-2023</t>
        </is>
      </c>
      <c r="B158" s="1" t="n">
        <v>45167</v>
      </c>
      <c r="C158" s="1" t="n">
        <v>46166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3998-2025</t>
        </is>
      </c>
      <c r="B159" s="1" t="n">
        <v>45684.56761574074</v>
      </c>
      <c r="C159" s="1" t="n">
        <v>46166</v>
      </c>
      <c r="D159" t="inlineStr">
        <is>
          <t>VÄSTRA GÖTALANDS LÄN</t>
        </is>
      </c>
      <c r="E159" t="inlineStr">
        <is>
          <t>MELLERUD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3999-2025</t>
        </is>
      </c>
      <c r="B160" s="1" t="n">
        <v>45684.56788194444</v>
      </c>
      <c r="C160" s="1" t="n">
        <v>46166</v>
      </c>
      <c r="D160" t="inlineStr">
        <is>
          <t>VÄSTRA GÖTALANDS LÄN</t>
        </is>
      </c>
      <c r="E160" t="inlineStr">
        <is>
          <t>MELLERUD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4016-2025</t>
        </is>
      </c>
      <c r="B161" s="1" t="n">
        <v>45684.58253472222</v>
      </c>
      <c r="C161" s="1" t="n">
        <v>46166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46166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49449-2025</t>
        </is>
      </c>
      <c r="B163" s="1" t="n">
        <v>45938.96420138889</v>
      </c>
      <c r="C163" s="1" t="n">
        <v>46166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32832-2024</t>
        </is>
      </c>
      <c r="B164" s="1" t="n">
        <v>45516.60021990741</v>
      </c>
      <c r="C164" s="1" t="n">
        <v>46166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49718-2025</t>
        </is>
      </c>
      <c r="B165" s="1" t="n">
        <v>45939.76440972222</v>
      </c>
      <c r="C165" s="1" t="n">
        <v>46166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32384-2023</t>
        </is>
      </c>
      <c r="B166" s="1" t="n">
        <v>45120.61326388889</v>
      </c>
      <c r="C166" s="1" t="n">
        <v>46166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4023-2025</t>
        </is>
      </c>
      <c r="B167" s="1" t="n">
        <v>45684.5937037037</v>
      </c>
      <c r="C167" s="1" t="n">
        <v>46166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4027-2025</t>
        </is>
      </c>
      <c r="B168" s="1" t="n">
        <v>45684.59524305556</v>
      </c>
      <c r="C168" s="1" t="n">
        <v>46166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31122-2023</t>
        </is>
      </c>
      <c r="B169" s="1" t="n">
        <v>45113</v>
      </c>
      <c r="C169" s="1" t="n">
        <v>46166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43406-2025</t>
        </is>
      </c>
      <c r="B170" s="1" t="n">
        <v>45911.39155092592</v>
      </c>
      <c r="C170" s="1" t="n">
        <v>46166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51436-2025</t>
        </is>
      </c>
      <c r="B171" s="1" t="n">
        <v>45950.56489583333</v>
      </c>
      <c r="C171" s="1" t="n">
        <v>46166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6283-2023</t>
        </is>
      </c>
      <c r="B172" s="1" t="n">
        <v>44965</v>
      </c>
      <c r="C172" s="1" t="n">
        <v>46166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46166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34415-2024</t>
        </is>
      </c>
      <c r="B174" s="1" t="n">
        <v>45525.48469907408</v>
      </c>
      <c r="C174" s="1" t="n">
        <v>46166</v>
      </c>
      <c r="D174" t="inlineStr">
        <is>
          <t>VÄSTRA GÖTALANDS LÄN</t>
        </is>
      </c>
      <c r="E174" t="inlineStr">
        <is>
          <t>MELLERUD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32304-2024</t>
        </is>
      </c>
      <c r="B175" s="1" t="n">
        <v>45512.45240740741</v>
      </c>
      <c r="C175" s="1" t="n">
        <v>46166</v>
      </c>
      <c r="D175" t="inlineStr">
        <is>
          <t>VÄSTRA GÖTALANDS LÄN</t>
        </is>
      </c>
      <c r="E175" t="inlineStr">
        <is>
          <t>MELLERUD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46761-2023</t>
        </is>
      </c>
      <c r="B176" s="1" t="n">
        <v>45198</v>
      </c>
      <c r="C176" s="1" t="n">
        <v>46166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1369-2025</t>
        </is>
      </c>
      <c r="B177" s="1" t="n">
        <v>45667.6443287037</v>
      </c>
      <c r="C177" s="1" t="n">
        <v>46166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21077-2023</t>
        </is>
      </c>
      <c r="B178" s="1" t="n">
        <v>45057</v>
      </c>
      <c r="C178" s="1" t="n">
        <v>46166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50336-2024</t>
        </is>
      </c>
      <c r="B179" s="1" t="n">
        <v>45600.71142361111</v>
      </c>
      <c r="C179" s="1" t="n">
        <v>46166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50478-2025</t>
        </is>
      </c>
      <c r="B180" s="1" t="n">
        <v>45945</v>
      </c>
      <c r="C180" s="1" t="n">
        <v>46166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50482-2025</t>
        </is>
      </c>
      <c r="B181" s="1" t="n">
        <v>45945</v>
      </c>
      <c r="C181" s="1" t="n">
        <v>46166</v>
      </c>
      <c r="D181" t="inlineStr">
        <is>
          <t>VÄSTRA GÖTALANDS LÄN</t>
        </is>
      </c>
      <c r="E181" t="inlineStr">
        <is>
          <t>MELLERUD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53232-2025</t>
        </is>
      </c>
      <c r="B182" s="1" t="n">
        <v>45958.62399305555</v>
      </c>
      <c r="C182" s="1" t="n">
        <v>46166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22313-2023</t>
        </is>
      </c>
      <c r="B183" s="1" t="n">
        <v>45070.47862268519</v>
      </c>
      <c r="C183" s="1" t="n">
        <v>46166</v>
      </c>
      <c r="D183" t="inlineStr">
        <is>
          <t>VÄSTRA GÖTALANDS LÄN</t>
        </is>
      </c>
      <c r="E183" t="inlineStr">
        <is>
          <t>MELLERUD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52128-2021</t>
        </is>
      </c>
      <c r="B184" s="1" t="n">
        <v>44463</v>
      </c>
      <c r="C184" s="1" t="n">
        <v>46166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17160-2024</t>
        </is>
      </c>
      <c r="B185" s="1" t="n">
        <v>45412.71053240741</v>
      </c>
      <c r="C185" s="1" t="n">
        <v>46166</v>
      </c>
      <c r="D185" t="inlineStr">
        <is>
          <t>VÄSTRA GÖTALANDS LÄN</t>
        </is>
      </c>
      <c r="E185" t="inlineStr">
        <is>
          <t>MELLERUD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48256-2022</t>
        </is>
      </c>
      <c r="B186" s="1" t="n">
        <v>44858.47505787037</v>
      </c>
      <c r="C186" s="1" t="n">
        <v>46166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54148-2025</t>
        </is>
      </c>
      <c r="B187" s="1" t="n">
        <v>45964.48523148148</v>
      </c>
      <c r="C187" s="1" t="n">
        <v>46166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55328-2025</t>
        </is>
      </c>
      <c r="B188" s="1" t="n">
        <v>45971.33905092593</v>
      </c>
      <c r="C188" s="1" t="n">
        <v>46166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8152-2023</t>
        </is>
      </c>
      <c r="B189" s="1" t="n">
        <v>44974</v>
      </c>
      <c r="C189" s="1" t="n">
        <v>46166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17064-2025</t>
        </is>
      </c>
      <c r="B190" s="1" t="n">
        <v>45755.61197916666</v>
      </c>
      <c r="C190" s="1" t="n">
        <v>46166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46166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56014-2025</t>
        </is>
      </c>
      <c r="B192" s="1" t="n">
        <v>45973</v>
      </c>
      <c r="C192" s="1" t="n">
        <v>46166</v>
      </c>
      <c r="D192" t="inlineStr">
        <is>
          <t>VÄSTRA GÖTALANDS LÄN</t>
        </is>
      </c>
      <c r="E192" t="inlineStr">
        <is>
          <t>MELLERUD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56026-2025</t>
        </is>
      </c>
      <c r="B193" s="1" t="n">
        <v>45973.59908564815</v>
      </c>
      <c r="C193" s="1" t="n">
        <v>46166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46166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46166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56349-2025</t>
        </is>
      </c>
      <c r="B196" s="1" t="n">
        <v>45974.65145833333</v>
      </c>
      <c r="C196" s="1" t="n">
        <v>46166</v>
      </c>
      <c r="D196" t="inlineStr">
        <is>
          <t>VÄSTRA GÖTALANDS LÄN</t>
        </is>
      </c>
      <c r="E196" t="inlineStr">
        <is>
          <t>MELLERUD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13523-2023</t>
        </is>
      </c>
      <c r="B197" s="1" t="n">
        <v>45006</v>
      </c>
      <c r="C197" s="1" t="n">
        <v>46166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45834-2023</t>
        </is>
      </c>
      <c r="B198" s="1" t="n">
        <v>45195.56408564815</v>
      </c>
      <c r="C198" s="1" t="n">
        <v>46166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51463-2023</t>
        </is>
      </c>
      <c r="B199" s="1" t="n">
        <v>45221.58049768519</v>
      </c>
      <c r="C199" s="1" t="n">
        <v>46166</v>
      </c>
      <c r="D199" t="inlineStr">
        <is>
          <t>VÄSTRA GÖTALANDS LÄN</t>
        </is>
      </c>
      <c r="E199" t="inlineStr">
        <is>
          <t>MELLERUD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56809-2025</t>
        </is>
      </c>
      <c r="B200" s="1" t="n">
        <v>45978.45096064815</v>
      </c>
      <c r="C200" s="1" t="n">
        <v>46166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8492-2022</t>
        </is>
      </c>
      <c r="B201" s="1" t="n">
        <v>44613.3828125</v>
      </c>
      <c r="C201" s="1" t="n">
        <v>46166</v>
      </c>
      <c r="D201" t="inlineStr">
        <is>
          <t>VÄSTRA GÖTALANDS LÄN</t>
        </is>
      </c>
      <c r="E201" t="inlineStr">
        <is>
          <t>MELLERUD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5509-2025</t>
        </is>
      </c>
      <c r="B202" s="1" t="n">
        <v>45693.39619212963</v>
      </c>
      <c r="C202" s="1" t="n">
        <v>46166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48879-2024</t>
        </is>
      </c>
      <c r="B203" s="1" t="n">
        <v>45594.32021990741</v>
      </c>
      <c r="C203" s="1" t="n">
        <v>46166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5647-2023</t>
        </is>
      </c>
      <c r="B204" s="1" t="n">
        <v>44960.6078125</v>
      </c>
      <c r="C204" s="1" t="n">
        <v>46166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59269-2025</t>
        </is>
      </c>
      <c r="B205" s="1" t="n">
        <v>45988.68052083333</v>
      </c>
      <c r="C205" s="1" t="n">
        <v>46166</v>
      </c>
      <c r="D205" t="inlineStr">
        <is>
          <t>VÄSTRA GÖTALANDS LÄN</t>
        </is>
      </c>
      <c r="E205" t="inlineStr">
        <is>
          <t>MELLERUD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59804-2025</t>
        </is>
      </c>
      <c r="B206" s="1" t="n">
        <v>45992.62403935185</v>
      </c>
      <c r="C206" s="1" t="n">
        <v>46166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59802-2025</t>
        </is>
      </c>
      <c r="B207" s="1" t="n">
        <v>45992.62133101852</v>
      </c>
      <c r="C207" s="1" t="n">
        <v>46166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59808-2025</t>
        </is>
      </c>
      <c r="B208" s="1" t="n">
        <v>45992.62931712963</v>
      </c>
      <c r="C208" s="1" t="n">
        <v>46166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59723-2025</t>
        </is>
      </c>
      <c r="B209" s="1" t="n">
        <v>45992</v>
      </c>
      <c r="C209" s="1" t="n">
        <v>46166</v>
      </c>
      <c r="D209" t="inlineStr">
        <is>
          <t>VÄSTRA GÖTALANDS LÄN</t>
        </is>
      </c>
      <c r="E209" t="inlineStr">
        <is>
          <t>MELLERUD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12334-2024</t>
        </is>
      </c>
      <c r="B210" s="1" t="n">
        <v>45378.69398148148</v>
      </c>
      <c r="C210" s="1" t="n">
        <v>46166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59806-2025</t>
        </is>
      </c>
      <c r="B211" s="1" t="n">
        <v>45992.62770833333</v>
      </c>
      <c r="C211" s="1" t="n">
        <v>46166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7157-2024</t>
        </is>
      </c>
      <c r="B212" s="1" t="n">
        <v>45344</v>
      </c>
      <c r="C212" s="1" t="n">
        <v>46166</v>
      </c>
      <c r="D212" t="inlineStr">
        <is>
          <t>VÄSTRA GÖTALANDS LÄN</t>
        </is>
      </c>
      <c r="E212" t="inlineStr">
        <is>
          <t>MELLERUD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60203-2025</t>
        </is>
      </c>
      <c r="B213" s="1" t="n">
        <v>45994</v>
      </c>
      <c r="C213" s="1" t="n">
        <v>46166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12713-2022</t>
        </is>
      </c>
      <c r="B214" s="1" t="n">
        <v>44641.64945601852</v>
      </c>
      <c r="C214" s="1" t="n">
        <v>46166</v>
      </c>
      <c r="D214" t="inlineStr">
        <is>
          <t>VÄSTRA GÖTALANDS LÄN</t>
        </is>
      </c>
      <c r="E214" t="inlineStr">
        <is>
          <t>MELLERUD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11219-2024</t>
        </is>
      </c>
      <c r="B215" s="1" t="n">
        <v>45371.58719907407</v>
      </c>
      <c r="C215" s="1" t="n">
        <v>46166</v>
      </c>
      <c r="D215" t="inlineStr">
        <is>
          <t>VÄSTRA GÖTALANDS LÄN</t>
        </is>
      </c>
      <c r="E215" t="inlineStr">
        <is>
          <t>MELLERUD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61177-2025</t>
        </is>
      </c>
      <c r="B216" s="1" t="n">
        <v>46000.57814814815</v>
      </c>
      <c r="C216" s="1" t="n">
        <v>46166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61180-2025</t>
        </is>
      </c>
      <c r="B217" s="1" t="n">
        <v>46000.58282407407</v>
      </c>
      <c r="C217" s="1" t="n">
        <v>46166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18205-2024</t>
        </is>
      </c>
      <c r="B218" s="1" t="n">
        <v>45420.69327546296</v>
      </c>
      <c r="C218" s="1" t="n">
        <v>46166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507-2025</t>
        </is>
      </c>
      <c r="B219" s="1" t="n">
        <v>45664.47</v>
      </c>
      <c r="C219" s="1" t="n">
        <v>46166</v>
      </c>
      <c r="D219" t="inlineStr">
        <is>
          <t>VÄSTRA GÖTALANDS LÄN</t>
        </is>
      </c>
      <c r="E219" t="inlineStr">
        <is>
          <t>MELLERUD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63249-2025</t>
        </is>
      </c>
      <c r="B220" s="1" t="n">
        <v>46010.54299768519</v>
      </c>
      <c r="C220" s="1" t="n">
        <v>46166</v>
      </c>
      <c r="D220" t="inlineStr">
        <is>
          <t>VÄSTRA GÖTALANDS LÄN</t>
        </is>
      </c>
      <c r="E220" t="inlineStr">
        <is>
          <t>MELLERUD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33902-2021</t>
        </is>
      </c>
      <c r="B221" s="1" t="n">
        <v>44378</v>
      </c>
      <c r="C221" s="1" t="n">
        <v>46166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10428-2022</t>
        </is>
      </c>
      <c r="B222" s="1" t="n">
        <v>44623</v>
      </c>
      <c r="C222" s="1" t="n">
        <v>46166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496-2025</t>
        </is>
      </c>
      <c r="B223" s="1" t="n">
        <v>45664.46601851852</v>
      </c>
      <c r="C223" s="1" t="n">
        <v>46166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1830-2026</t>
        </is>
      </c>
      <c r="B224" s="1" t="n">
        <v>46035.37927083333</v>
      </c>
      <c r="C224" s="1" t="n">
        <v>46166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1827-2026</t>
        </is>
      </c>
      <c r="B225" s="1" t="n">
        <v>46035.37334490741</v>
      </c>
      <c r="C225" s="1" t="n">
        <v>46166</v>
      </c>
      <c r="D225" t="inlineStr">
        <is>
          <t>VÄSTRA GÖTALANDS LÄN</t>
        </is>
      </c>
      <c r="E225" t="inlineStr">
        <is>
          <t>MELLERUD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54796-2022</t>
        </is>
      </c>
      <c r="B226" s="1" t="n">
        <v>44883</v>
      </c>
      <c r="C226" s="1" t="n">
        <v>46166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3178-2026</t>
        </is>
      </c>
      <c r="B227" s="1" t="n">
        <v>46041.4453587963</v>
      </c>
      <c r="C227" s="1" t="n">
        <v>46166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53573-2023</t>
        </is>
      </c>
      <c r="B228" s="1" t="n">
        <v>45230.49935185185</v>
      </c>
      <c r="C228" s="1" t="n">
        <v>46166</v>
      </c>
      <c r="D228" t="inlineStr">
        <is>
          <t>VÄSTRA GÖTALANDS LÄN</t>
        </is>
      </c>
      <c r="E228" t="inlineStr">
        <is>
          <t>MELLERUD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3250-2026</t>
        </is>
      </c>
      <c r="B229" s="1" t="n">
        <v>46041.57758101852</v>
      </c>
      <c r="C229" s="1" t="n">
        <v>46166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35709-2021</t>
        </is>
      </c>
      <c r="B230" s="1" t="n">
        <v>44386.50672453704</v>
      </c>
      <c r="C230" s="1" t="n">
        <v>46166</v>
      </c>
      <c r="D230" t="inlineStr">
        <is>
          <t>VÄSTRA GÖTALANDS LÄN</t>
        </is>
      </c>
      <c r="E230" t="inlineStr">
        <is>
          <t>MELLERUD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3201-2026</t>
        </is>
      </c>
      <c r="B231" s="1" t="n">
        <v>46041.48054398148</v>
      </c>
      <c r="C231" s="1" t="n">
        <v>46166</v>
      </c>
      <c r="D231" t="inlineStr">
        <is>
          <t>VÄSTRA GÖTALANDS LÄN</t>
        </is>
      </c>
      <c r="E231" t="inlineStr">
        <is>
          <t>MELLERUD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34116-2023</t>
        </is>
      </c>
      <c r="B232" s="1" t="n">
        <v>45126</v>
      </c>
      <c r="C232" s="1" t="n">
        <v>46166</v>
      </c>
      <c r="D232" t="inlineStr">
        <is>
          <t>VÄSTRA GÖTALANDS LÄN</t>
        </is>
      </c>
      <c r="E232" t="inlineStr">
        <is>
          <t>MELLERUD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1883-2023</t>
        </is>
      </c>
      <c r="B233" s="1" t="n">
        <v>44939.32333333333</v>
      </c>
      <c r="C233" s="1" t="n">
        <v>46166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1886-2023</t>
        </is>
      </c>
      <c r="B234" s="1" t="n">
        <v>44939.33954861111</v>
      </c>
      <c r="C234" s="1" t="n">
        <v>46166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5324-2026</t>
        </is>
      </c>
      <c r="B235" s="1" t="n">
        <v>46050.39023148148</v>
      </c>
      <c r="C235" s="1" t="n">
        <v>46166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29402-2024</t>
        </is>
      </c>
      <c r="B236" s="1" t="n">
        <v>45483.66359953704</v>
      </c>
      <c r="C236" s="1" t="n">
        <v>46166</v>
      </c>
      <c r="D236" t="inlineStr">
        <is>
          <t>VÄSTRA GÖTALANDS LÄN</t>
        </is>
      </c>
      <c r="E236" t="inlineStr">
        <is>
          <t>MELLERUD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8169-2023</t>
        </is>
      </c>
      <c r="B237" s="1" t="n">
        <v>44974</v>
      </c>
      <c r="C237" s="1" t="n">
        <v>46166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56607-2023</t>
        </is>
      </c>
      <c r="B238" s="1" t="n">
        <v>45238</v>
      </c>
      <c r="C238" s="1" t="n">
        <v>46166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27510-2023</t>
        </is>
      </c>
      <c r="B239" s="1" t="n">
        <v>45097</v>
      </c>
      <c r="C239" s="1" t="n">
        <v>46166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7047-2026</t>
        </is>
      </c>
      <c r="B240" s="1" t="n">
        <v>46057.71314814815</v>
      </c>
      <c r="C240" s="1" t="n">
        <v>46166</v>
      </c>
      <c r="D240" t="inlineStr">
        <is>
          <t>VÄSTRA GÖTALANDS LÄN</t>
        </is>
      </c>
      <c r="E240" t="inlineStr">
        <is>
          <t>MELLERUD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334-2023</t>
        </is>
      </c>
      <c r="B241" s="1" t="n">
        <v>44929.46462962963</v>
      </c>
      <c r="C241" s="1" t="n">
        <v>46166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7125-2026</t>
        </is>
      </c>
      <c r="B242" s="1" t="n">
        <v>46058.38688657407</v>
      </c>
      <c r="C242" s="1" t="n">
        <v>46166</v>
      </c>
      <c r="D242" t="inlineStr">
        <is>
          <t>VÄSTRA GÖTALANDS LÄN</t>
        </is>
      </c>
      <c r="E242" t="inlineStr">
        <is>
          <t>MELLERUD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7120-2026</t>
        </is>
      </c>
      <c r="B243" s="1" t="n">
        <v>46058.38006944444</v>
      </c>
      <c r="C243" s="1" t="n">
        <v>46166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7117-2026</t>
        </is>
      </c>
      <c r="B244" s="1" t="n">
        <v>46058.3778125</v>
      </c>
      <c r="C244" s="1" t="n">
        <v>46166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4009-2025</t>
        </is>
      </c>
      <c r="B245" s="1" t="n">
        <v>45684.57601851852</v>
      </c>
      <c r="C245" s="1" t="n">
        <v>46166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32299-2024</t>
        </is>
      </c>
      <c r="B246" s="1" t="n">
        <v>45512.44171296297</v>
      </c>
      <c r="C246" s="1" t="n">
        <v>46166</v>
      </c>
      <c r="D246" t="inlineStr">
        <is>
          <t>VÄSTRA GÖTALANDS LÄN</t>
        </is>
      </c>
      <c r="E246" t="inlineStr">
        <is>
          <t>MELLERUD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8160-2026</t>
        </is>
      </c>
      <c r="B247" s="1" t="n">
        <v>46064</v>
      </c>
      <c r="C247" s="1" t="n">
        <v>46166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46076-2021</t>
        </is>
      </c>
      <c r="B248" s="1" t="n">
        <v>44442</v>
      </c>
      <c r="C248" s="1" t="n">
        <v>46166</v>
      </c>
      <c r="D248" t="inlineStr">
        <is>
          <t>VÄSTRA GÖTALANDS LÄN</t>
        </is>
      </c>
      <c r="E248" t="inlineStr">
        <is>
          <t>MELLERUD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9573-2026</t>
        </is>
      </c>
      <c r="B249" s="1" t="n">
        <v>46071.66459490741</v>
      </c>
      <c r="C249" s="1" t="n">
        <v>46166</v>
      </c>
      <c r="D249" t="inlineStr">
        <is>
          <t>VÄSTRA GÖTALANDS LÄN</t>
        </is>
      </c>
      <c r="E249" t="inlineStr">
        <is>
          <t>MELLERUD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11249-2026</t>
        </is>
      </c>
      <c r="B250" s="1" t="n">
        <v>46080.54099537037</v>
      </c>
      <c r="C250" s="1" t="n">
        <v>46166</v>
      </c>
      <c r="D250" t="inlineStr">
        <is>
          <t>VÄSTRA GÖTALANDS LÄN</t>
        </is>
      </c>
      <c r="E250" t="inlineStr">
        <is>
          <t>MELLERUD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11073-2026</t>
        </is>
      </c>
      <c r="B251" s="1" t="n">
        <v>46079.6134837963</v>
      </c>
      <c r="C251" s="1" t="n">
        <v>46166</v>
      </c>
      <c r="D251" t="inlineStr">
        <is>
          <t>VÄSTRA GÖTALANDS LÄN</t>
        </is>
      </c>
      <c r="E251" t="inlineStr">
        <is>
          <t>MELLERUD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11121-2026</t>
        </is>
      </c>
      <c r="B252" s="1" t="n">
        <v>46079</v>
      </c>
      <c r="C252" s="1" t="n">
        <v>46166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11323-2026</t>
        </is>
      </c>
      <c r="B253" s="1" t="n">
        <v>46080</v>
      </c>
      <c r="C253" s="1" t="n">
        <v>46166</v>
      </c>
      <c r="D253" t="inlineStr">
        <is>
          <t>VÄSTRA GÖTALANDS LÄN</t>
        </is>
      </c>
      <c r="E253" t="inlineStr">
        <is>
          <t>MELLERUD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18055-2026</t>
        </is>
      </c>
      <c r="B254" s="1" t="n">
        <v>46125.43484953704</v>
      </c>
      <c r="C254" s="1" t="n">
        <v>46166</v>
      </c>
      <c r="D254" t="inlineStr">
        <is>
          <t>VÄSTRA GÖTALANDS LÄN</t>
        </is>
      </c>
      <c r="E254" t="inlineStr">
        <is>
          <t>MELLERUD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32498-2024</t>
        </is>
      </c>
      <c r="B255" s="1" t="n">
        <v>45513.42944444445</v>
      </c>
      <c r="C255" s="1" t="n">
        <v>46166</v>
      </c>
      <c r="D255" t="inlineStr">
        <is>
          <t>VÄSTRA GÖTALANDS LÄN</t>
        </is>
      </c>
      <c r="E255" t="inlineStr">
        <is>
          <t>MELLERUD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43349-2024</t>
        </is>
      </c>
      <c r="B256" s="1" t="n">
        <v>45568.55829861111</v>
      </c>
      <c r="C256" s="1" t="n">
        <v>46166</v>
      </c>
      <c r="D256" t="inlineStr">
        <is>
          <t>VÄSTRA GÖTALANDS LÄN</t>
        </is>
      </c>
      <c r="E256" t="inlineStr">
        <is>
          <t>MELLERUD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43353-2024</t>
        </is>
      </c>
      <c r="B257" s="1" t="n">
        <v>45568.56689814815</v>
      </c>
      <c r="C257" s="1" t="n">
        <v>46166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51916-2022</t>
        </is>
      </c>
      <c r="B258" s="1" t="n">
        <v>44868</v>
      </c>
      <c r="C258" s="1" t="n">
        <v>46166</v>
      </c>
      <c r="D258" t="inlineStr">
        <is>
          <t>VÄSTRA GÖTALANDS LÄN</t>
        </is>
      </c>
      <c r="E258" t="inlineStr">
        <is>
          <t>MELLERUD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13075-2025</t>
        </is>
      </c>
      <c r="B259" s="1" t="n">
        <v>45734.61987268519</v>
      </c>
      <c r="C259" s="1" t="n">
        <v>46166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33666-2023</t>
        </is>
      </c>
      <c r="B260" s="1" t="n">
        <v>45132</v>
      </c>
      <c r="C260" s="1" t="n">
        <v>46166</v>
      </c>
      <c r="D260" t="inlineStr">
        <is>
          <t>VÄSTRA GÖTALANDS LÄN</t>
        </is>
      </c>
      <c r="E260" t="inlineStr">
        <is>
          <t>MELLERUD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51785-2023</t>
        </is>
      </c>
      <c r="B261" s="1" t="n">
        <v>45222</v>
      </c>
      <c r="C261" s="1" t="n">
        <v>46166</v>
      </c>
      <c r="D261" t="inlineStr">
        <is>
          <t>VÄSTRA GÖTALANDS LÄN</t>
        </is>
      </c>
      <c r="E261" t="inlineStr">
        <is>
          <t>MELLERUD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13318-2024</t>
        </is>
      </c>
      <c r="B262" s="1" t="n">
        <v>45386.75064814815</v>
      </c>
      <c r="C262" s="1" t="n">
        <v>46166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13354-2026</t>
        </is>
      </c>
      <c r="B263" s="1" t="n">
        <v>46094.38849537037</v>
      </c>
      <c r="C263" s="1" t="n">
        <v>46166</v>
      </c>
      <c r="D263" t="inlineStr">
        <is>
          <t>VÄSTRA GÖTALANDS LÄN</t>
        </is>
      </c>
      <c r="E263" t="inlineStr">
        <is>
          <t>MELLERUD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36096-2021</t>
        </is>
      </c>
      <c r="B264" s="1" t="n">
        <v>44389</v>
      </c>
      <c r="C264" s="1" t="n">
        <v>46166</v>
      </c>
      <c r="D264" t="inlineStr">
        <is>
          <t>VÄSTRA GÖTALANDS LÄN</t>
        </is>
      </c>
      <c r="E264" t="inlineStr">
        <is>
          <t>MELLERUD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20573-2026</t>
        </is>
      </c>
      <c r="B265" s="1" t="n">
        <v>46140.61589120371</v>
      </c>
      <c r="C265" s="1" t="n">
        <v>46166</v>
      </c>
      <c r="D265" t="inlineStr">
        <is>
          <t>VÄSTRA GÖTALANDS LÄN</t>
        </is>
      </c>
      <c r="E265" t="inlineStr">
        <is>
          <t>MELLERUD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13594-2026</t>
        </is>
      </c>
      <c r="B266" s="1" t="n">
        <v>46096</v>
      </c>
      <c r="C266" s="1" t="n">
        <v>46166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53310-2024</t>
        </is>
      </c>
      <c r="B267" s="1" t="n">
        <v>45614.3945949074</v>
      </c>
      <c r="C267" s="1" t="n">
        <v>46166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47167-2024</t>
        </is>
      </c>
      <c r="B268" s="1" t="n">
        <v>45586</v>
      </c>
      <c r="C268" s="1" t="n">
        <v>46166</v>
      </c>
      <c r="D268" t="inlineStr">
        <is>
          <t>VÄSTRA GÖTALANDS LÄN</t>
        </is>
      </c>
      <c r="E268" t="inlineStr">
        <is>
          <t>MELLERUD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33092-2023</t>
        </is>
      </c>
      <c r="B269" s="1" t="n">
        <v>45126.51414351852</v>
      </c>
      <c r="C269" s="1" t="n">
        <v>46166</v>
      </c>
      <c r="D269" t="inlineStr">
        <is>
          <t>VÄSTRA GÖTALANDS LÄN</t>
        </is>
      </c>
      <c r="E269" t="inlineStr">
        <is>
          <t>MELLERUD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55391-2023</t>
        </is>
      </c>
      <c r="B270" s="1" t="n">
        <v>45238.37284722222</v>
      </c>
      <c r="C270" s="1" t="n">
        <v>46166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20498-2026</t>
        </is>
      </c>
      <c r="B271" s="1" t="n">
        <v>46140</v>
      </c>
      <c r="C271" s="1" t="n">
        <v>46166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15971-2023</t>
        </is>
      </c>
      <c r="B272" s="1" t="n">
        <v>45022.71006944445</v>
      </c>
      <c r="C272" s="1" t="n">
        <v>46166</v>
      </c>
      <c r="D272" t="inlineStr">
        <is>
          <t>VÄSTRA GÖTALANDS LÄN</t>
        </is>
      </c>
      <c r="E272" t="inlineStr">
        <is>
          <t>MELLERUD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53317-2024</t>
        </is>
      </c>
      <c r="B273" s="1" t="n">
        <v>45614.39809027778</v>
      </c>
      <c r="C273" s="1" t="n">
        <v>46166</v>
      </c>
      <c r="D273" t="inlineStr">
        <is>
          <t>VÄSTRA GÖTALANDS LÄN</t>
        </is>
      </c>
      <c r="E273" t="inlineStr">
        <is>
          <t>MELLERUD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53318-2024</t>
        </is>
      </c>
      <c r="B274" s="1" t="n">
        <v>45614.40048611111</v>
      </c>
      <c r="C274" s="1" t="n">
        <v>46166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3992-2023</t>
        </is>
      </c>
      <c r="B275" s="1" t="n">
        <v>44952</v>
      </c>
      <c r="C275" s="1" t="n">
        <v>46166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73351-2021</t>
        </is>
      </c>
      <c r="B276" s="1" t="n">
        <v>44551.39665509259</v>
      </c>
      <c r="C276" s="1" t="n">
        <v>46166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21432-2026</t>
        </is>
      </c>
      <c r="B277" s="1" t="n">
        <v>46148.39237268519</v>
      </c>
      <c r="C277" s="1" t="n">
        <v>46166</v>
      </c>
      <c r="D277" t="inlineStr">
        <is>
          <t>VÄSTRA GÖTALANDS LÄN</t>
        </is>
      </c>
      <c r="E277" t="inlineStr">
        <is>
          <t>MELLERUD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26428-2022</t>
        </is>
      </c>
      <c r="B278" s="1" t="n">
        <v>44736.31748842593</v>
      </c>
      <c r="C278" s="1" t="n">
        <v>46166</v>
      </c>
      <c r="D278" t="inlineStr">
        <is>
          <t>VÄSTRA GÖTALANDS LÄN</t>
        </is>
      </c>
      <c r="E278" t="inlineStr">
        <is>
          <t>MELLERUD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20578-2026</t>
        </is>
      </c>
      <c r="B279" s="1" t="n">
        <v>46140</v>
      </c>
      <c r="C279" s="1" t="n">
        <v>46166</v>
      </c>
      <c r="D279" t="inlineStr">
        <is>
          <t>VÄSTRA GÖTALANDS LÄN</t>
        </is>
      </c>
      <c r="E279" t="inlineStr">
        <is>
          <t>MELLERUD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21618-2024</t>
        </is>
      </c>
      <c r="B280" s="1" t="n">
        <v>45442</v>
      </c>
      <c r="C280" s="1" t="n">
        <v>46166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21620-2024</t>
        </is>
      </c>
      <c r="B281" s="1" t="n">
        <v>45442</v>
      </c>
      <c r="C281" s="1" t="n">
        <v>46166</v>
      </c>
      <c r="D281" t="inlineStr">
        <is>
          <t>VÄSTRA GÖTALANDS LÄN</t>
        </is>
      </c>
      <c r="E281" t="inlineStr">
        <is>
          <t>MELLERUD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26530-2023</t>
        </is>
      </c>
      <c r="B282" s="1" t="n">
        <v>45092</v>
      </c>
      <c r="C282" s="1" t="n">
        <v>46166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6243-2024</t>
        </is>
      </c>
      <c r="B283" s="1" t="n">
        <v>45337.69141203703</v>
      </c>
      <c r="C283" s="1" t="n">
        <v>46166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18854-2023</t>
        </is>
      </c>
      <c r="B284" s="1" t="n">
        <v>45042</v>
      </c>
      <c r="C284" s="1" t="n">
        <v>46166</v>
      </c>
      <c r="D284" t="inlineStr">
        <is>
          <t>VÄSTRA GÖTALANDS LÄN</t>
        </is>
      </c>
      <c r="E284" t="inlineStr">
        <is>
          <t>MELLERUD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14568-2022</t>
        </is>
      </c>
      <c r="B285" s="1" t="n">
        <v>44655</v>
      </c>
      <c r="C285" s="1" t="n">
        <v>46166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61811-2023</t>
        </is>
      </c>
      <c r="B286" s="1" t="n">
        <v>45264</v>
      </c>
      <c r="C286" s="1" t="n">
        <v>46166</v>
      </c>
      <c r="D286" t="inlineStr">
        <is>
          <t>VÄSTRA GÖTALANDS LÄN</t>
        </is>
      </c>
      <c r="E286" t="inlineStr">
        <is>
          <t>MELLERUD</t>
        </is>
      </c>
      <c r="F286" t="inlineStr">
        <is>
          <t>Övriga Aktiebolag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13073-2025</t>
        </is>
      </c>
      <c r="B287" s="1" t="n">
        <v>45734.61699074074</v>
      </c>
      <c r="C287" s="1" t="n">
        <v>46166</v>
      </c>
      <c r="D287" t="inlineStr">
        <is>
          <t>VÄSTRA GÖTALANDS LÄN</t>
        </is>
      </c>
      <c r="E287" t="inlineStr">
        <is>
          <t>MELLERUD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16352-2025</t>
        </is>
      </c>
      <c r="B288" s="1" t="n">
        <v>45750</v>
      </c>
      <c r="C288" s="1" t="n">
        <v>46166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25399-2023</t>
        </is>
      </c>
      <c r="B289" s="1" t="n">
        <v>45089</v>
      </c>
      <c r="C289" s="1" t="n">
        <v>46166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46166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46166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17538-2023</t>
        </is>
      </c>
      <c r="B292" s="1" t="n">
        <v>45036</v>
      </c>
      <c r="C292" s="1" t="n">
        <v>46166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13319-2024</t>
        </is>
      </c>
      <c r="B293" s="1" t="n">
        <v>45386.7578125</v>
      </c>
      <c r="C293" s="1" t="n">
        <v>46166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45060-2021</t>
        </is>
      </c>
      <c r="B294" s="1" t="n">
        <v>44439</v>
      </c>
      <c r="C294" s="1" t="n">
        <v>46166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19545-2024</t>
        </is>
      </c>
      <c r="B295" s="1" t="n">
        <v>45429</v>
      </c>
      <c r="C295" s="1" t="n">
        <v>46166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50441-2023</t>
        </is>
      </c>
      <c r="B296" s="1" t="n">
        <v>45216.708125</v>
      </c>
      <c r="C296" s="1" t="n">
        <v>46166</v>
      </c>
      <c r="D296" t="inlineStr">
        <is>
          <t>VÄSTRA GÖTALANDS LÄN</t>
        </is>
      </c>
      <c r="E296" t="inlineStr">
        <is>
          <t>MELLERUD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10401-2024</t>
        </is>
      </c>
      <c r="B297" s="1" t="n">
        <v>45365.68392361111</v>
      </c>
      <c r="C297" s="1" t="n">
        <v>46166</v>
      </c>
      <c r="D297" t="inlineStr">
        <is>
          <t>VÄSTRA GÖTALANDS LÄN</t>
        </is>
      </c>
      <c r="E297" t="inlineStr">
        <is>
          <t>MELLERUD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46166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46166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509-2025</t>
        </is>
      </c>
      <c r="B300" s="1" t="n">
        <v>45664.47153935185</v>
      </c>
      <c r="C300" s="1" t="n">
        <v>46166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20850-2025</t>
        </is>
      </c>
      <c r="B301" s="1" t="n">
        <v>45777.32079861111</v>
      </c>
      <c r="C301" s="1" t="n">
        <v>46166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21689-2025</t>
        </is>
      </c>
      <c r="B302" s="1" t="n">
        <v>45783.49379629629</v>
      </c>
      <c r="C302" s="1" t="n">
        <v>46166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21678-2025</t>
        </is>
      </c>
      <c r="B303" s="1" t="n">
        <v>45783.48696759259</v>
      </c>
      <c r="C303" s="1" t="n">
        <v>46166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21698-2025</t>
        </is>
      </c>
      <c r="B304" s="1" t="n">
        <v>45783.51045138889</v>
      </c>
      <c r="C304" s="1" t="n">
        <v>46166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13313-2024</t>
        </is>
      </c>
      <c r="B305" s="1" t="n">
        <v>45386.73177083334</v>
      </c>
      <c r="C305" s="1" t="n">
        <v>46166</v>
      </c>
      <c r="D305" t="inlineStr">
        <is>
          <t>VÄSTRA GÖTALANDS LÄN</t>
        </is>
      </c>
      <c r="E305" t="inlineStr">
        <is>
          <t>MELLERUD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27342-2024</t>
        </is>
      </c>
      <c r="B306" s="1" t="n">
        <v>45473.34694444444</v>
      </c>
      <c r="C306" s="1" t="n">
        <v>46166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10100-2025</t>
        </is>
      </c>
      <c r="B307" s="1" t="n">
        <v>45719.57890046296</v>
      </c>
      <c r="C307" s="1" t="n">
        <v>46166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8667-2025</t>
        </is>
      </c>
      <c r="B308" s="1" t="n">
        <v>45712.41157407407</v>
      </c>
      <c r="C308" s="1" t="n">
        <v>46166</v>
      </c>
      <c r="D308" t="inlineStr">
        <is>
          <t>VÄSTRA GÖTALANDS LÄN</t>
        </is>
      </c>
      <c r="E308" t="inlineStr">
        <is>
          <t>MELLERUD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13079-2025</t>
        </is>
      </c>
      <c r="B309" s="1" t="n">
        <v>45734.62342592593</v>
      </c>
      <c r="C309" s="1" t="n">
        <v>46166</v>
      </c>
      <c r="D309" t="inlineStr">
        <is>
          <t>VÄSTRA GÖTALANDS LÄN</t>
        </is>
      </c>
      <c r="E309" t="inlineStr">
        <is>
          <t>MELLERUD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46166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46166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60993-2022</t>
        </is>
      </c>
      <c r="B312" s="1" t="n">
        <v>44914</v>
      </c>
      <c r="C312" s="1" t="n">
        <v>46166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10097-2025</t>
        </is>
      </c>
      <c r="B313" s="1" t="n">
        <v>45719.57722222222</v>
      </c>
      <c r="C313" s="1" t="n">
        <v>46166</v>
      </c>
      <c r="D313" t="inlineStr">
        <is>
          <t>VÄSTRA GÖTALANDS LÄN</t>
        </is>
      </c>
      <c r="E313" t="inlineStr">
        <is>
          <t>MELLERUD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11213-2025</t>
        </is>
      </c>
      <c r="B314" s="1" t="n">
        <v>45726.33466435185</v>
      </c>
      <c r="C314" s="1" t="n">
        <v>46166</v>
      </c>
      <c r="D314" t="inlineStr">
        <is>
          <t>VÄSTRA GÖTALANDS LÄN</t>
        </is>
      </c>
      <c r="E314" t="inlineStr">
        <is>
          <t>MELLERUD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22890-2025</t>
        </is>
      </c>
      <c r="B315" s="1" t="n">
        <v>45790.39219907407</v>
      </c>
      <c r="C315" s="1" t="n">
        <v>46166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8870-2025</t>
        </is>
      </c>
      <c r="B316" s="1" t="n">
        <v>45713.37015046296</v>
      </c>
      <c r="C316" s="1" t="n">
        <v>46166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10182-2025</t>
        </is>
      </c>
      <c r="B317" s="1" t="n">
        <v>45719.68414351852</v>
      </c>
      <c r="C317" s="1" t="n">
        <v>46166</v>
      </c>
      <c r="D317" t="inlineStr">
        <is>
          <t>VÄSTRA GÖTALANDS LÄN</t>
        </is>
      </c>
      <c r="E317" t="inlineStr">
        <is>
          <t>MELLERUD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23426-2025</t>
        </is>
      </c>
      <c r="B318" s="1" t="n">
        <v>45792.3609375</v>
      </c>
      <c r="C318" s="1" t="n">
        <v>46166</v>
      </c>
      <c r="D318" t="inlineStr">
        <is>
          <t>VÄSTRA GÖTALANDS LÄN</t>
        </is>
      </c>
      <c r="E318" t="inlineStr">
        <is>
          <t>MELLERUD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24312-2025</t>
        </is>
      </c>
      <c r="B319" s="1" t="n">
        <v>45797.51908564815</v>
      </c>
      <c r="C319" s="1" t="n">
        <v>46166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24533-2025</t>
        </is>
      </c>
      <c r="B320" s="1" t="n">
        <v>45798.43085648148</v>
      </c>
      <c r="C320" s="1" t="n">
        <v>46166</v>
      </c>
      <c r="D320" t="inlineStr">
        <is>
          <t>VÄSTRA GÖTALANDS LÄN</t>
        </is>
      </c>
      <c r="E320" t="inlineStr">
        <is>
          <t>MELLERUD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24527-2025</t>
        </is>
      </c>
      <c r="B321" s="1" t="n">
        <v>45798.42491898148</v>
      </c>
      <c r="C321" s="1" t="n">
        <v>46166</v>
      </c>
      <c r="D321" t="inlineStr">
        <is>
          <t>VÄSTRA GÖTALANDS LÄN</t>
        </is>
      </c>
      <c r="E321" t="inlineStr">
        <is>
          <t>MELLERUD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43017-2024</t>
        </is>
      </c>
      <c r="B322" s="1" t="n">
        <v>45567.39223379629</v>
      </c>
      <c r="C322" s="1" t="n">
        <v>46166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25623-2025</t>
        </is>
      </c>
      <c r="B323" s="1" t="n">
        <v>45803.57804398148</v>
      </c>
      <c r="C323" s="1" t="n">
        <v>46166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25620-2025</t>
        </is>
      </c>
      <c r="B324" s="1" t="n">
        <v>45803.57626157408</v>
      </c>
      <c r="C324" s="1" t="n">
        <v>46166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25652-2025</t>
        </is>
      </c>
      <c r="B325" s="1" t="n">
        <v>45803.61063657407</v>
      </c>
      <c r="C325" s="1" t="n">
        <v>46166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25747-2025</t>
        </is>
      </c>
      <c r="B326" s="1" t="n">
        <v>45800</v>
      </c>
      <c r="C326" s="1" t="n">
        <v>46166</v>
      </c>
      <c r="D326" t="inlineStr">
        <is>
          <t>VÄSTRA GÖTALANDS LÄN</t>
        </is>
      </c>
      <c r="E326" t="inlineStr">
        <is>
          <t>MELLERUD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25635-2025</t>
        </is>
      </c>
      <c r="B327" s="1" t="n">
        <v>45803.59703703703</v>
      </c>
      <c r="C327" s="1" t="n">
        <v>46166</v>
      </c>
      <c r="D327" t="inlineStr">
        <is>
          <t>VÄSTRA GÖTALANDS LÄN</t>
        </is>
      </c>
      <c r="E327" t="inlineStr">
        <is>
          <t>MELLERUD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60395-2024</t>
        </is>
      </c>
      <c r="B328" s="1" t="n">
        <v>45643</v>
      </c>
      <c r="C328" s="1" t="n">
        <v>46166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12501-2025</t>
        </is>
      </c>
      <c r="B329" s="1" t="n">
        <v>45730.61782407408</v>
      </c>
      <c r="C329" s="1" t="n">
        <v>46166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11848-2025</t>
        </is>
      </c>
      <c r="B330" s="1" t="n">
        <v>45728.38061342593</v>
      </c>
      <c r="C330" s="1" t="n">
        <v>46166</v>
      </c>
      <c r="D330" t="inlineStr">
        <is>
          <t>VÄSTRA GÖTALANDS LÄN</t>
        </is>
      </c>
      <c r="E330" t="inlineStr">
        <is>
          <t>MELLERUD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8165-2023</t>
        </is>
      </c>
      <c r="B331" s="1" t="n">
        <v>44974</v>
      </c>
      <c r="C331" s="1" t="n">
        <v>46166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17528-2024</t>
        </is>
      </c>
      <c r="B332" s="1" t="n">
        <v>45415.60586805556</v>
      </c>
      <c r="C332" s="1" t="n">
        <v>46166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52922-2024</t>
        </is>
      </c>
      <c r="B333" s="1" t="n">
        <v>45610.71511574074</v>
      </c>
      <c r="C333" s="1" t="n">
        <v>46166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7228-2025</t>
        </is>
      </c>
      <c r="B334" s="1" t="n">
        <v>45702.50678240741</v>
      </c>
      <c r="C334" s="1" t="n">
        <v>46166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28319-2025</t>
        </is>
      </c>
      <c r="B335" s="1" t="n">
        <v>45818.63456018519</v>
      </c>
      <c r="C335" s="1" t="n">
        <v>46166</v>
      </c>
      <c r="D335" t="inlineStr">
        <is>
          <t>VÄSTRA GÖTALANDS LÄN</t>
        </is>
      </c>
      <c r="E335" t="inlineStr">
        <is>
          <t>MELLERUD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28863-2025</t>
        </is>
      </c>
      <c r="B336" s="1" t="n">
        <v>45820</v>
      </c>
      <c r="C336" s="1" t="n">
        <v>46166</v>
      </c>
      <c r="D336" t="inlineStr">
        <is>
          <t>VÄSTRA GÖTALANDS LÄN</t>
        </is>
      </c>
      <c r="E336" t="inlineStr">
        <is>
          <t>MELLERUD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28865-2025</t>
        </is>
      </c>
      <c r="B337" s="1" t="n">
        <v>45820</v>
      </c>
      <c r="C337" s="1" t="n">
        <v>46166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28870-2025</t>
        </is>
      </c>
      <c r="B338" s="1" t="n">
        <v>45820</v>
      </c>
      <c r="C338" s="1" t="n">
        <v>46166</v>
      </c>
      <c r="D338" t="inlineStr">
        <is>
          <t>VÄSTRA GÖTALANDS LÄN</t>
        </is>
      </c>
      <c r="E338" t="inlineStr">
        <is>
          <t>MELLERUD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32842-2025</t>
        </is>
      </c>
      <c r="B339" s="1" t="n">
        <v>45839.56862268518</v>
      </c>
      <c r="C339" s="1" t="n">
        <v>46166</v>
      </c>
      <c r="D339" t="inlineStr">
        <is>
          <t>VÄSTRA GÖTALANDS LÄN</t>
        </is>
      </c>
      <c r="E339" t="inlineStr">
        <is>
          <t>MELLERUD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32832-2025</t>
        </is>
      </c>
      <c r="B340" s="1" t="n">
        <v>45839.55377314815</v>
      </c>
      <c r="C340" s="1" t="n">
        <v>46166</v>
      </c>
      <c r="D340" t="inlineStr">
        <is>
          <t>VÄSTRA GÖTALANDS LÄN</t>
        </is>
      </c>
      <c r="E340" t="inlineStr">
        <is>
          <t>MELLERUD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33342-2025</t>
        </is>
      </c>
      <c r="B341" s="1" t="n">
        <v>45841.36143518519</v>
      </c>
      <c r="C341" s="1" t="n">
        <v>46166</v>
      </c>
      <c r="D341" t="inlineStr">
        <is>
          <t>VÄSTRA GÖTALANDS LÄN</t>
        </is>
      </c>
      <c r="E341" t="inlineStr">
        <is>
          <t>MELLERUD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33312-2025</t>
        </is>
      </c>
      <c r="B342" s="1" t="n">
        <v>45841.33291666667</v>
      </c>
      <c r="C342" s="1" t="n">
        <v>46166</v>
      </c>
      <c r="D342" t="inlineStr">
        <is>
          <t>VÄSTRA GÖTALANDS LÄN</t>
        </is>
      </c>
      <c r="E342" t="inlineStr">
        <is>
          <t>MELLERUD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23450-2025</t>
        </is>
      </c>
      <c r="B343" s="1" t="n">
        <v>45792.40715277778</v>
      </c>
      <c r="C343" s="1" t="n">
        <v>46166</v>
      </c>
      <c r="D343" t="inlineStr">
        <is>
          <t>VÄSTRA GÖTALANDS LÄN</t>
        </is>
      </c>
      <c r="E343" t="inlineStr">
        <is>
          <t>MELLERUD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2026-05-24T10:52:50Z</dcterms:created>
  <dcterms:modified xmlns:dcterms="http://purl.org/dc/terms/" xmlns:xsi="http://www.w3.org/2001/XMLSchema-instance" xsi:type="dcterms:W3CDTF">2026-05-24T10:52:50Z</dcterms:modified>
</cp:coreProperties>
</file>