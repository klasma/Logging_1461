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45740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45740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45740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45740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45740</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45740</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HYPERLINK("https://klasma.github.io/Logging_1461/artfynd/A 13115-2025 artfynd.xlsx", "A 13115-2025")</f>
        <v/>
      </c>
      <c r="T7">
        <f>HYPERLINK("https://klasma.github.io/Logging_1461/kartor/A 13115-2025 karta.png", "A 13115-2025")</f>
        <v/>
      </c>
      <c r="V7">
        <f>HYPERLINK("https://klasma.github.io/Logging_1461/klagomål/A 13115-2025 FSC-klagomål.docx", "A 13115-2025")</f>
        <v/>
      </c>
      <c r="W7">
        <f>HYPERLINK("https://klasma.github.io/Logging_1461/klagomålsmail/A 13115-2025 FSC-klagomål mail.docx", "A 13115-2025")</f>
        <v/>
      </c>
      <c r="X7">
        <f>HYPERLINK("https://klasma.github.io/Logging_1461/tillsyn/A 13115-2025 tillsynsbegäran.docx", "A 13115-2025")</f>
        <v/>
      </c>
      <c r="Y7">
        <f>HYPERLINK("https://klasma.github.io/Logging_1461/tillsynsmail/A 13115-2025 tillsynsbegäran mail.docx", "A 13115-2025")</f>
        <v/>
      </c>
    </row>
    <row r="8" ht="15" customHeight="1">
      <c r="A8" t="inlineStr">
        <is>
          <t>A 43448-2019</t>
        </is>
      </c>
      <c r="B8" s="1" t="n">
        <v>43703</v>
      </c>
      <c r="C8" s="1" t="n">
        <v>45740</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45740</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45740</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45740</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45740</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45740</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45740</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45740</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45740</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45740</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45740</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45740</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45740</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45740</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45740</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45740</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45740</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45740</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45740</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45740</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45740</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45740</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45740</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45740</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45740</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45740</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45740</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45740</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45740</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45740</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45740</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45740</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45740</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45740</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45740</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45740</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45740</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45740</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45740</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45740</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45740</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45740</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45740</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45740</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45740</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45740</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45740</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45740</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45740</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45740</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45740</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45740</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45740</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45740</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45740</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45740</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45740</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45740</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45740</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45740</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45740</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45740</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45740</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45740</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45740</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45740</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45740</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45740</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45740</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45740</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45740</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45740</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45740</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45740</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45740</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45740</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45740</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45740</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45740</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45740</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45740</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45740</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45740</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45740</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45740</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45740</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45740</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45740</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45740</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45740</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45740</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45740</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45740</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45740</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45740</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45740</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45740</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45740</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45740</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45740</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45740</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45740</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45740</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45740</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45740</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45740</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45740</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45740</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45740</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45740</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45740</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45740</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45740</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45740</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45740</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45740</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45740</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45740</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45740</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45740</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45740</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45740</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45740</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45740</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45740</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45740</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45740</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45740</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45740</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45740</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45740</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45740</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45740</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45740</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45740</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45740</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45740</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45740</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45740</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45740</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45740</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45740</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45740</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45740</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45740</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45740</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45740</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45740</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45740</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45740</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45740</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45740</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45740</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45740</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45740</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45740</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45740</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45740</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45740</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45740</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45740</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45740</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45740</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45740</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45740</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45740</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45740</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45740</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45740</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45740</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45740</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45740</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45740</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45740</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45740</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45740</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45740</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45740</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45740</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45740</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45740</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45740</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45740</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45740</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45740</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45740</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45740</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45740</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45740</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45740</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45740</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45740</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45740</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45740</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45740</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45740</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45740</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45740</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45740</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45740</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45740</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45740</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45740</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45740</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45740</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45740</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45740</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45740</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45740</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45740</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45740</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45740</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45740</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45740</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45740</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45740</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45740</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45740</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45740</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45740</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45740</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45740</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45740</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45740</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45740</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45740</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45740</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45740</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45740</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45740</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45740</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45740</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45740</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45740</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45740</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45740</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45740</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45740</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45740</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45740</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45740</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45740</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45740</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45740</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45740</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45740</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45740</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45740</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45740</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45740</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45740</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45740</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45740</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45740</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45740</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45740</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45740</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45740</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45740</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45740</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45740</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45740</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45740</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45740</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45740</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45740</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45740</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45740</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45740</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45740</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45740</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45740</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45740</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45740</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45740</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45740</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45740</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45740</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45740</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45740</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45740</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45740</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45740</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45740</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45740</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45740</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45740</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45740</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45740</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45740</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45740</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45740</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45740</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45740</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45740</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45740</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45740</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45740</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45740</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45740</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45740</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45740</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45740</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45740</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45740</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45740</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45740</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45740</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45740</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45740</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45740</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45740</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45740</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45740</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45740</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45740</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45740</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45740</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45740</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45740</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45740</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45740</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45740</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45740</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45740</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45740</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45740</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45740</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45740</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45740</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45740</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45740</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45740</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45740</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45740</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45740</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45740</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45740</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45740</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45740</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45740</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45740</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45740</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45740</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45740</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45740</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45740</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45740</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45740</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45740</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45740</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45740</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45740</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45740</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45740</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45740</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45740</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45740</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45740</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45740</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45740</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45740</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45740</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45740</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45740</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45740</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45740</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45740</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45740</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45740</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45740</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45740</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45740</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45740</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45740</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45740</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45740</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45740</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45740</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45740</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45740</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45740</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45740</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45740</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45740</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45740</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45740</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45740</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45740</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45740</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45740</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45740</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45740</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45740</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45740</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45740</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45740</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45740</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45740</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45740</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45740</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45740</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45740</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45740</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45740</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45740</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45740</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45740</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45740</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45740</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45740</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45740</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45740</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45740</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45740</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45740</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45740</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45740</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45740</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45740</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45740</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45740</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45740</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45740</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45740</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45740</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45740</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45740</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45740</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45740</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45740</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45740</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45740</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45740</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45740</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45740</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45740</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45740</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45740</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45740</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45740</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45740</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45740</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45740</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45740</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45740</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45740</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45740</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45740</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45740</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45740</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45740</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45740</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45740</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45740</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45740</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45740</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45740</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45740</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45740</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45740</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45740</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45740</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45740</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45740</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45740</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45740</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45740</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45740</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45740</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45740</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45740</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45740</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45740</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45740</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10097-2025</t>
        </is>
      </c>
      <c r="B483" s="1" t="n">
        <v>45719</v>
      </c>
      <c r="C483" s="1" t="n">
        <v>45740</v>
      </c>
      <c r="D483" t="inlineStr">
        <is>
          <t>VÄSTRA GÖTALANDS LÄN</t>
        </is>
      </c>
      <c r="E483" t="inlineStr">
        <is>
          <t>MELLERUD</t>
        </is>
      </c>
      <c r="G483" t="n">
        <v>2.6</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45740</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10178-2025</t>
        </is>
      </c>
      <c r="B485" s="1" t="n">
        <v>45719</v>
      </c>
      <c r="C485" s="1" t="n">
        <v>45740</v>
      </c>
      <c r="D485" t="inlineStr">
        <is>
          <t>VÄSTRA GÖTALANDS LÄN</t>
        </is>
      </c>
      <c r="E485" t="inlineStr">
        <is>
          <t>MELLERUD</t>
        </is>
      </c>
      <c r="G485" t="n">
        <v>0.6</v>
      </c>
      <c r="H485" t="n">
        <v>0</v>
      </c>
      <c r="I485" t="n">
        <v>0</v>
      </c>
      <c r="J485" t="n">
        <v>0</v>
      </c>
      <c r="K485" t="n">
        <v>0</v>
      </c>
      <c r="L485" t="n">
        <v>0</v>
      </c>
      <c r="M485" t="n">
        <v>0</v>
      </c>
      <c r="N485" t="n">
        <v>0</v>
      </c>
      <c r="O485" t="n">
        <v>0</v>
      </c>
      <c r="P485" t="n">
        <v>0</v>
      </c>
      <c r="Q485" t="n">
        <v>0</v>
      </c>
      <c r="R485" s="2" t="inlineStr"/>
    </row>
    <row r="486" ht="15" customHeight="1">
      <c r="A486" t="inlineStr">
        <is>
          <t>A 10182-2025</t>
        </is>
      </c>
      <c r="B486" s="1" t="n">
        <v>45719</v>
      </c>
      <c r="C486" s="1" t="n">
        <v>45740</v>
      </c>
      <c r="D486" t="inlineStr">
        <is>
          <t>VÄSTRA GÖTALANDS LÄN</t>
        </is>
      </c>
      <c r="E486" t="inlineStr">
        <is>
          <t>MELLERUD</t>
        </is>
      </c>
      <c r="G486" t="n">
        <v>7.8</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45740</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45740</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45740</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45740</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45740</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45740</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45740</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45740</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11916-2025</t>
        </is>
      </c>
      <c r="B495" s="1" t="n">
        <v>45728</v>
      </c>
      <c r="C495" s="1" t="n">
        <v>45740</v>
      </c>
      <c r="D495" t="inlineStr">
        <is>
          <t>VÄSTRA GÖTALANDS LÄN</t>
        </is>
      </c>
      <c r="E495" t="inlineStr">
        <is>
          <t>MELLERUD</t>
        </is>
      </c>
      <c r="G495" t="n">
        <v>3.8</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45740</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45740</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13079-2025</t>
        </is>
      </c>
      <c r="B498" s="1" t="n">
        <v>45734</v>
      </c>
      <c r="C498" s="1" t="n">
        <v>45740</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13073-2025</t>
        </is>
      </c>
      <c r="B499" s="1" t="n">
        <v>45734</v>
      </c>
      <c r="C499" s="1" t="n">
        <v>45740</v>
      </c>
      <c r="D499" t="inlineStr">
        <is>
          <t>VÄSTRA GÖTALANDS LÄN</t>
        </is>
      </c>
      <c r="E499" t="inlineStr">
        <is>
          <t>MELLERUD</t>
        </is>
      </c>
      <c r="G499" t="n">
        <v>3.4</v>
      </c>
      <c r="H499" t="n">
        <v>0</v>
      </c>
      <c r="I499" t="n">
        <v>0</v>
      </c>
      <c r="J499" t="n">
        <v>0</v>
      </c>
      <c r="K499" t="n">
        <v>0</v>
      </c>
      <c r="L499" t="n">
        <v>0</v>
      </c>
      <c r="M499" t="n">
        <v>0</v>
      </c>
      <c r="N499" t="n">
        <v>0</v>
      </c>
      <c r="O499" t="n">
        <v>0</v>
      </c>
      <c r="P499" t="n">
        <v>0</v>
      </c>
      <c r="Q499" t="n">
        <v>0</v>
      </c>
      <c r="R499" s="2" t="inlineStr"/>
    </row>
    <row r="500">
      <c r="A500" t="inlineStr">
        <is>
          <t>A 13075-2025</t>
        </is>
      </c>
      <c r="B500" s="1" t="n">
        <v>45734</v>
      </c>
      <c r="C500" s="1" t="n">
        <v>45740</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2025-03-24T18:08:49Z</dcterms:created>
  <dcterms:modified xmlns:dcterms="http://purl.org/dc/terms/" xmlns:xsi="http://www.w3.org/2001/XMLSchema-instance" xsi:type="dcterms:W3CDTF">2025-03-24T18:08:49Z</dcterms:modified>
</cp:coreProperties>
</file>