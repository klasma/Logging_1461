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45752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45752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45752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45752</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45752</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45752</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HYPERLINK("https://klasma.github.io/Logging_141461/artfynd/A 13115-2025 artfynd.xlsx", "A 13115-2025")</f>
        <v/>
      </c>
      <c r="T7">
        <f>HYPERLINK("https://klasma.github.io/Logging_141461/kartor/A 13115-2025 karta.png", "A 13115-2025")</f>
        <v/>
      </c>
      <c r="V7">
        <f>HYPERLINK("https://klasma.github.io/Logging_141461/klagomål/A 13115-2025 FSC-klagomål.docx", "A 13115-2025")</f>
        <v/>
      </c>
      <c r="W7">
        <f>HYPERLINK("https://klasma.github.io/Logging_141461/klagomålsmail/A 13115-2025 FSC-klagomål mail.docx", "A 13115-2025")</f>
        <v/>
      </c>
      <c r="X7">
        <f>HYPERLINK("https://klasma.github.io/Logging_141461/tillsyn/A 13115-2025 tillsynsbegäran.docx", "A 13115-2025")</f>
        <v/>
      </c>
      <c r="Y7">
        <f>HYPERLINK("https://klasma.github.io/Logging_141461/tillsynsmail/A 13115-2025 tillsynsbegäran mail.docx", "A 13115-2025")</f>
        <v/>
      </c>
    </row>
    <row r="8" ht="15" customHeight="1">
      <c r="A8" t="inlineStr">
        <is>
          <t>A 43448-2019</t>
        </is>
      </c>
      <c r="B8" s="1" t="n">
        <v>43703</v>
      </c>
      <c r="C8" s="1" t="n">
        <v>45752</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45752</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45752</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45752</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45752</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45752</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45752</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45752</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45752</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45752</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45752</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45752</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45752</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45752</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45752</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45752</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45752</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45752</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45752</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45752</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45752</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45752</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45752</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45752</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45752</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45752</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45752</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45752</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45752</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45752</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45752</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45752</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45752</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45752</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45752</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45752</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45752</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45752</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45752</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45752</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45752</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45752</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45752</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45752</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45752</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45752</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45752</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45752</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45752</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45752</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45752</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45752</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45752</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45752</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45752</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45752</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45752</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45752</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45752</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45752</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45752</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45752</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45752</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45752</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45752</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45752</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45752</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45752</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45752</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45752</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45752</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45752</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45752</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45752</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45752</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45752</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45752</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45752</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45752</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45752</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45752</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45752</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45752</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45752</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45752</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45752</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45752</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45752</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45752</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45752</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45752</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45752</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45752</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45752</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45752</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45752</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45752</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45752</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45752</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45752</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45752</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45752</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45752</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45752</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45752</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45752</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45752</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45752</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45752</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45752</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45752</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45752</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45752</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45752</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45752</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45752</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45752</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45752</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45752</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45752</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45752</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45752</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45752</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45752</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45752</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45752</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45752</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45752</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45752</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45752</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45752</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45752</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45752</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45752</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45752</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45752</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45752</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45752</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45752</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45752</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45752</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45752</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45752</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45752</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45752</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45752</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45752</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45752</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45752</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45752</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45752</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45752</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45752</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45752</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45752</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45752</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45752</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45752</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45752</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45752</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45752</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45752</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45752</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45752</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45752</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45752</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45752</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45752</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45752</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45752</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45752</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45752</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45752</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45752</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45752</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45752</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45752</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45752</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45752</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45752</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45752</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45752</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45752</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45752</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45752</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45752</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45752</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45752</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45752</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45752</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45752</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45752</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45752</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45752</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45752</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45752</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45752</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45752</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45752</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45752</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45752</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45752</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45752</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45752</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45752</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45752</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45752</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45752</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45752</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45752</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45752</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45752</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45752</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45752</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45752</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45752</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45752</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45752</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45752</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45752</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45752</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45752</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45752</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45752</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45752</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45752</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45752</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45752</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45752</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45752</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45752</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45752</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45752</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45752</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45752</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45752</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45752</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45752</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45752</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45752</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45752</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45752</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45752</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45752</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45752</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45752</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45752</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45752</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45752</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45752</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45752</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45752</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45752</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45752</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45752</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45752</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45752</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45752</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45752</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45752</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45752</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45752</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45752</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45752</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45752</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45752</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45752</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45752</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45752</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45752</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45752</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45752</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45752</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45752</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45752</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45752</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45752</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45752</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45752</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45752</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45752</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45752</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45752</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45752</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45752</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45752</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45752</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45752</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45752</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45752</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45752</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45752</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45752</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45752</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45752</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45752</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45752</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45752</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45752</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45752</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45752</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45752</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45752</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45752</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45752</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45752</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45752</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45752</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45752</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45752</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45752</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45752</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45752</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45752</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45752</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45752</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45752</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45752</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45752</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45752</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45752</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45752</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45752</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45752</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45752</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45752</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45752</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45752</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45752</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45752</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45752</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45752</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45752</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45752</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45752</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45752</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45752</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45752</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45752</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45752</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45752</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45752</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45752</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45752</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45752</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45752</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45752</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45752</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45752</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45752</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45752</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45752</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45752</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45752</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45752</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45752</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45752</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45752</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45752</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45752</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45752</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45752</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45752</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45752</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45752</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45752</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45752</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45752</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45752</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45752</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45752</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45752</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45752</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45752</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45752</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45752</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45752</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45752</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45752</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45752</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45752</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45752</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45752</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45752</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45752</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45752</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45752</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45752</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45752</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45752</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45752</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45752</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45752</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45752</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45752</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45752</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45752</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45752</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45752</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45752</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45752</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45752</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45752</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45752</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45752</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45752</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45752</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45752</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45752</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45752</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45752</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45752</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45752</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45752</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45752</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45752</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45752</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45752</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45752</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45752</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45752</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45752</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45752</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45752</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45752</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45752</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45752</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45752</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45752</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45752</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45752</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45752</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45752</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45752</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45752</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45752</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45752</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45752</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45752</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45752</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45752</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45752</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45752</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45752</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45752</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45752</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45752</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45752</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45752</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45752</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45752</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45752</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45752</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45752</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45752</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45752</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45752</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45752</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45752</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45752</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45752</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45752</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45752</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45752</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45752</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45752</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45752</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45752</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45752</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45752</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45752</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45752</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45752</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45752</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45752</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45752</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45752</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45752</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10178-2025</t>
        </is>
      </c>
      <c r="B486" s="1" t="n">
        <v>45719</v>
      </c>
      <c r="C486" s="1" t="n">
        <v>45752</v>
      </c>
      <c r="D486" t="inlineStr">
        <is>
          <t>VÄSTRA GÖTALANDS LÄN</t>
        </is>
      </c>
      <c r="E486" t="inlineStr">
        <is>
          <t>MELLERUD</t>
        </is>
      </c>
      <c r="G486" t="n">
        <v>0.6</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45752</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45752</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45752</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45752</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45752</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45752</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45752</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45752</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11916-2025</t>
        </is>
      </c>
      <c r="B495" s="1" t="n">
        <v>45728</v>
      </c>
      <c r="C495" s="1" t="n">
        <v>45752</v>
      </c>
      <c r="D495" t="inlineStr">
        <is>
          <t>VÄSTRA GÖTALANDS LÄN</t>
        </is>
      </c>
      <c r="E495" t="inlineStr">
        <is>
          <t>MELLERUD</t>
        </is>
      </c>
      <c r="G495" t="n">
        <v>3.8</v>
      </c>
      <c r="H495" t="n">
        <v>0</v>
      </c>
      <c r="I495" t="n">
        <v>0</v>
      </c>
      <c r="J495" t="n">
        <v>0</v>
      </c>
      <c r="K495" t="n">
        <v>0</v>
      </c>
      <c r="L495" t="n">
        <v>0</v>
      </c>
      <c r="M495" t="n">
        <v>0</v>
      </c>
      <c r="N495" t="n">
        <v>0</v>
      </c>
      <c r="O495" t="n">
        <v>0</v>
      </c>
      <c r="P495" t="n">
        <v>0</v>
      </c>
      <c r="Q495" t="n">
        <v>0</v>
      </c>
      <c r="R495" s="2" t="inlineStr"/>
    </row>
    <row r="496" ht="15" customHeight="1">
      <c r="A496" t="inlineStr">
        <is>
          <t>A 12029-2025</t>
        </is>
      </c>
      <c r="B496" s="1" t="n">
        <v>45728</v>
      </c>
      <c r="C496" s="1" t="n">
        <v>45752</v>
      </c>
      <c r="D496" t="inlineStr">
        <is>
          <t>VÄSTRA GÖTALANDS LÄN</t>
        </is>
      </c>
      <c r="E496" t="inlineStr">
        <is>
          <t>MELLERUD</t>
        </is>
      </c>
      <c r="G496" t="n">
        <v>0.7</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45752</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13073-2025</t>
        </is>
      </c>
      <c r="B498" s="1" t="n">
        <v>45734</v>
      </c>
      <c r="C498" s="1" t="n">
        <v>45752</v>
      </c>
      <c r="D498" t="inlineStr">
        <is>
          <t>VÄSTRA GÖTALANDS LÄN</t>
        </is>
      </c>
      <c r="E498" t="inlineStr">
        <is>
          <t>MELLERUD</t>
        </is>
      </c>
      <c r="G498" t="n">
        <v>3.4</v>
      </c>
      <c r="H498" t="n">
        <v>0</v>
      </c>
      <c r="I498" t="n">
        <v>0</v>
      </c>
      <c r="J498" t="n">
        <v>0</v>
      </c>
      <c r="K498" t="n">
        <v>0</v>
      </c>
      <c r="L498" t="n">
        <v>0</v>
      </c>
      <c r="M498" t="n">
        <v>0</v>
      </c>
      <c r="N498" t="n">
        <v>0</v>
      </c>
      <c r="O498" t="n">
        <v>0</v>
      </c>
      <c r="P498" t="n">
        <v>0</v>
      </c>
      <c r="Q498" t="n">
        <v>0</v>
      </c>
      <c r="R498" s="2" t="inlineStr"/>
    </row>
    <row r="499" ht="15" customHeight="1">
      <c r="A499" t="inlineStr">
        <is>
          <t>A 13075-2025</t>
        </is>
      </c>
      <c r="B499" s="1" t="n">
        <v>45734</v>
      </c>
      <c r="C499" s="1" t="n">
        <v>45752</v>
      </c>
      <c r="D499" t="inlineStr">
        <is>
          <t>VÄSTRA GÖTALANDS LÄN</t>
        </is>
      </c>
      <c r="E499" t="inlineStr">
        <is>
          <t>MELLERUD</t>
        </is>
      </c>
      <c r="G499" t="n">
        <v>1.5</v>
      </c>
      <c r="H499" t="n">
        <v>0</v>
      </c>
      <c r="I499" t="n">
        <v>0</v>
      </c>
      <c r="J499" t="n">
        <v>0</v>
      </c>
      <c r="K499" t="n">
        <v>0</v>
      </c>
      <c r="L499" t="n">
        <v>0</v>
      </c>
      <c r="M499" t="n">
        <v>0</v>
      </c>
      <c r="N499" t="n">
        <v>0</v>
      </c>
      <c r="O499" t="n">
        <v>0</v>
      </c>
      <c r="P499" t="n">
        <v>0</v>
      </c>
      <c r="Q499" t="n">
        <v>0</v>
      </c>
      <c r="R499" s="2" t="inlineStr"/>
    </row>
    <row r="500" ht="15" customHeight="1">
      <c r="A500" t="inlineStr">
        <is>
          <t>A 13079-2025</t>
        </is>
      </c>
      <c r="B500" s="1" t="n">
        <v>45734</v>
      </c>
      <c r="C500" s="1" t="n">
        <v>45752</v>
      </c>
      <c r="D500" t="inlineStr">
        <is>
          <t>VÄSTRA GÖTALANDS LÄN</t>
        </is>
      </c>
      <c r="E500" t="inlineStr">
        <is>
          <t>MELLERUD</t>
        </is>
      </c>
      <c r="G500" t="n">
        <v>3.8</v>
      </c>
      <c r="H500" t="n">
        <v>0</v>
      </c>
      <c r="I500" t="n">
        <v>0</v>
      </c>
      <c r="J500" t="n">
        <v>0</v>
      </c>
      <c r="K500" t="n">
        <v>0</v>
      </c>
      <c r="L500" t="n">
        <v>0</v>
      </c>
      <c r="M500" t="n">
        <v>0</v>
      </c>
      <c r="N500" t="n">
        <v>0</v>
      </c>
      <c r="O500" t="n">
        <v>0</v>
      </c>
      <c r="P500" t="n">
        <v>0</v>
      </c>
      <c r="Q500" t="n">
        <v>0</v>
      </c>
      <c r="R500" s="2" t="inlineStr"/>
    </row>
    <row r="501" ht="15" customHeight="1">
      <c r="A501" t="inlineStr">
        <is>
          <t>A 15229-2025</t>
        </is>
      </c>
      <c r="B501" s="1" t="n">
        <v>45744</v>
      </c>
      <c r="C501" s="1" t="n">
        <v>45752</v>
      </c>
      <c r="D501" t="inlineStr">
        <is>
          <t>VÄSTRA GÖTALANDS LÄN</t>
        </is>
      </c>
      <c r="E501" t="inlineStr">
        <is>
          <t>MELLERUD</t>
        </is>
      </c>
      <c r="G501" t="n">
        <v>0.8</v>
      </c>
      <c r="H501" t="n">
        <v>0</v>
      </c>
      <c r="I501" t="n">
        <v>0</v>
      </c>
      <c r="J501" t="n">
        <v>0</v>
      </c>
      <c r="K501" t="n">
        <v>0</v>
      </c>
      <c r="L501" t="n">
        <v>0</v>
      </c>
      <c r="M501" t="n">
        <v>0</v>
      </c>
      <c r="N501" t="n">
        <v>0</v>
      </c>
      <c r="O501" t="n">
        <v>0</v>
      </c>
      <c r="P501" t="n">
        <v>0</v>
      </c>
      <c r="Q501" t="n">
        <v>0</v>
      </c>
      <c r="R501" s="2" t="inlineStr"/>
    </row>
    <row r="502" ht="15" customHeight="1">
      <c r="A502" t="inlineStr">
        <is>
          <t>A 15265-2025</t>
        </is>
      </c>
      <c r="B502" s="1" t="n">
        <v>45744</v>
      </c>
      <c r="C502" s="1" t="n">
        <v>45752</v>
      </c>
      <c r="D502" t="inlineStr">
        <is>
          <t>VÄSTRA GÖTALANDS LÄN</t>
        </is>
      </c>
      <c r="E502" t="inlineStr">
        <is>
          <t>MELLERUD</t>
        </is>
      </c>
      <c r="G502" t="n">
        <v>1</v>
      </c>
      <c r="H502" t="n">
        <v>0</v>
      </c>
      <c r="I502" t="n">
        <v>0</v>
      </c>
      <c r="J502" t="n">
        <v>0</v>
      </c>
      <c r="K502" t="n">
        <v>0</v>
      </c>
      <c r="L502" t="n">
        <v>0</v>
      </c>
      <c r="M502" t="n">
        <v>0</v>
      </c>
      <c r="N502" t="n">
        <v>0</v>
      </c>
      <c r="O502" t="n">
        <v>0</v>
      </c>
      <c r="P502" t="n">
        <v>0</v>
      </c>
      <c r="Q502" t="n">
        <v>0</v>
      </c>
      <c r="R502" s="2" t="inlineStr"/>
    </row>
    <row r="503" ht="15" customHeight="1">
      <c r="A503" t="inlineStr">
        <is>
          <t>A 15227-2025</t>
        </is>
      </c>
      <c r="B503" s="1" t="n">
        <v>45744</v>
      </c>
      <c r="C503" s="1" t="n">
        <v>45752</v>
      </c>
      <c r="D503" t="inlineStr">
        <is>
          <t>VÄSTRA GÖTALANDS LÄN</t>
        </is>
      </c>
      <c r="E503" t="inlineStr">
        <is>
          <t>MELLERUD</t>
        </is>
      </c>
      <c r="G503" t="n">
        <v>0.7</v>
      </c>
      <c r="H503" t="n">
        <v>0</v>
      </c>
      <c r="I503" t="n">
        <v>0</v>
      </c>
      <c r="J503" t="n">
        <v>0</v>
      </c>
      <c r="K503" t="n">
        <v>0</v>
      </c>
      <c r="L503" t="n">
        <v>0</v>
      </c>
      <c r="M503" t="n">
        <v>0</v>
      </c>
      <c r="N503" t="n">
        <v>0</v>
      </c>
      <c r="O503" t="n">
        <v>0</v>
      </c>
      <c r="P503" t="n">
        <v>0</v>
      </c>
      <c r="Q503" t="n">
        <v>0</v>
      </c>
      <c r="R503" s="2" t="inlineStr"/>
    </row>
    <row r="504" ht="15" customHeight="1">
      <c r="A504" t="inlineStr">
        <is>
          <t>A 16068-2025</t>
        </is>
      </c>
      <c r="B504" s="1" t="n">
        <v>45749</v>
      </c>
      <c r="C504" s="1" t="n">
        <v>45752</v>
      </c>
      <c r="D504" t="inlineStr">
        <is>
          <t>VÄSTRA GÖTALANDS LÄN</t>
        </is>
      </c>
      <c r="E504" t="inlineStr">
        <is>
          <t>MELLERUD</t>
        </is>
      </c>
      <c r="G504" t="n">
        <v>1.1</v>
      </c>
      <c r="H504" t="n">
        <v>0</v>
      </c>
      <c r="I504" t="n">
        <v>0</v>
      </c>
      <c r="J504" t="n">
        <v>0</v>
      </c>
      <c r="K504" t="n">
        <v>0</v>
      </c>
      <c r="L504" t="n">
        <v>0</v>
      </c>
      <c r="M504" t="n">
        <v>0</v>
      </c>
      <c r="N504" t="n">
        <v>0</v>
      </c>
      <c r="O504" t="n">
        <v>0</v>
      </c>
      <c r="P504" t="n">
        <v>0</v>
      </c>
      <c r="Q504" t="n">
        <v>0</v>
      </c>
      <c r="R504" s="2" t="inlineStr"/>
    </row>
    <row r="505">
      <c r="A505" t="inlineStr">
        <is>
          <t>A 16352-2025</t>
        </is>
      </c>
      <c r="B505" s="1" t="n">
        <v>45750</v>
      </c>
      <c r="C505" s="1" t="n">
        <v>45752</v>
      </c>
      <c r="D505" t="inlineStr">
        <is>
          <t>VÄSTRA GÖTALANDS LÄN</t>
        </is>
      </c>
      <c r="E505" t="inlineStr">
        <is>
          <t>MELLERUD</t>
        </is>
      </c>
      <c r="G505" t="n">
        <v>1.2</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2025-04-05T16:40:22Z</dcterms:created>
  <dcterms:modified xmlns:dcterms="http://purl.org/dc/terms/" xmlns:xsi="http://www.w3.org/2001/XMLSchema-instance" xsi:type="dcterms:W3CDTF">2025-04-05T16:40:23Z</dcterms:modified>
</cp:coreProperties>
</file>