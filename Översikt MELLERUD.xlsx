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46220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46220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46220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46220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s="2" t="inlineStr">
        <is>
          <t>Aspfjädermossa
Skirmossa
Stor skogsbäckmossa
Blå säckmossa
Dunmossa
Sårläka
Skogshakmossa
Trind spretmossa
Blåsippa
Grönvit nattviol</t>
        </is>
      </c>
      <c r="V5">
        <f>HYPERLINK("https://klasma.github.io/Logging_1461/artfynd/A 44523-2022 artfynd.xlsx", "A 44523-2022")</f>
        <v/>
      </c>
      <c r="W5">
        <f>HYPERLINK("https://klasma.github.io/Logging_1461/kartor/A 44523-2022 karta.png", "A 44523-2022")</f>
        <v/>
      </c>
      <c r="Y5">
        <f>HYPERLINK("https://klasma.github.io/Logging_1461/klagomål/A 44523-2022 FSC-klagomål.docx", "A 44523-2022")</f>
        <v/>
      </c>
      <c r="Z5">
        <f>HYPERLINK("https://klasma.github.io/Logging_1461/klagomålsmail/A 44523-2022 FSC-klagomål mail.docx", "A 44523-2022")</f>
        <v/>
      </c>
      <c r="AA5">
        <f>HYPERLINK("https://klasma.github.io/Logging_1461/tillsyn/A 44523-2022 tillsynsbegäran.docx", "A 44523-2022")</f>
        <v/>
      </c>
      <c r="AB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46220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s="2" t="inlineStr">
        <is>
          <t>Grålila vaxing
Uddbräken
Lädervaxing
Scharlakansvaxing
Sårläka
Blodvaxing
Honungsvaxing
Igelkottsröksvamp
Luktvaxing
Ängsvaxing agg.</t>
        </is>
      </c>
      <c r="V6">
        <f>HYPERLINK("https://klasma.github.io/Logging_1461/artfynd/A 53463-2024 artfynd.xlsx", "A 53463-2024")</f>
        <v/>
      </c>
      <c r="W6">
        <f>HYPERLINK("https://klasma.github.io/Logging_1461/kartor/A 53463-2024 karta.png", "A 53463-2024")</f>
        <v/>
      </c>
      <c r="Y6">
        <f>HYPERLINK("https://klasma.github.io/Logging_1461/klagomål/A 53463-2024 FSC-klagomål.docx", "A 53463-2024")</f>
        <v/>
      </c>
      <c r="Z6">
        <f>HYPERLINK("https://klasma.github.io/Logging_1461/klagomålsmail/A 53463-2024 FSC-klagomål mail.docx", "A 53463-2024")</f>
        <v/>
      </c>
      <c r="AA6">
        <f>HYPERLINK("https://klasma.github.io/Logging_1461/tillsyn/A 53463-2024 tillsynsbegäran.docx", "A 53463-2024")</f>
        <v/>
      </c>
      <c r="AB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46220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46220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s="2" t="inlineStr">
        <is>
          <t>Uddbräken
Jungfrulin
Sårläka
Nästrot
Skogsknipprot
Svart trolldruva
Taggbräken
Blåsippa</t>
        </is>
      </c>
      <c r="V8">
        <f>HYPERLINK("https://klasma.github.io/Logging_1461/artfynd/A 1491-2025 artfynd.xlsx", "A 1491-2025")</f>
        <v/>
      </c>
      <c r="W8">
        <f>HYPERLINK("https://klasma.github.io/Logging_1461/kartor/A 1491-2025 karta.png", "A 1491-2025")</f>
        <v/>
      </c>
      <c r="Y8">
        <f>HYPERLINK("https://klasma.github.io/Logging_1461/klagomål/A 1491-2025 FSC-klagomål.docx", "A 1491-2025")</f>
        <v/>
      </c>
      <c r="Z8">
        <f>HYPERLINK("https://klasma.github.io/Logging_1461/klagomålsmail/A 1491-2025 FSC-klagomål mail.docx", "A 1491-2025")</f>
        <v/>
      </c>
      <c r="AA8">
        <f>HYPERLINK("https://klasma.github.io/Logging_1461/tillsyn/A 1491-2025 tillsynsbegäran.docx", "A 1491-2025")</f>
        <v/>
      </c>
      <c r="AB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46220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Vedsäckmossa
Stubbtrådmossa
Vedflikmossa
Vedtrappmossa
Grön sköldmossa
Korallblylav
Thomsons trägnagare
Skriftlav</t>
        </is>
      </c>
      <c r="V9">
        <f>HYPERLINK("https://klasma.github.io/Logging_1461/artfynd/A 11965-2026 artfynd.xlsx", "A 11965-2026")</f>
        <v/>
      </c>
      <c r="W9">
        <f>HYPERLINK("https://klasma.github.io/Logging_1461/kartor/A 11965-2026 karta.png", "A 11965-2026")</f>
        <v/>
      </c>
      <c r="Y9">
        <f>HYPERLINK("https://klasma.github.io/Logging_1461/klagomål/A 11965-2026 FSC-klagomål.docx", "A 11965-2026")</f>
        <v/>
      </c>
      <c r="Z9">
        <f>HYPERLINK("https://klasma.github.io/Logging_1461/klagomålsmail/A 11965-2026 FSC-klagomål mail.docx", "A 11965-2026")</f>
        <v/>
      </c>
      <c r="AA9">
        <f>HYPERLINK("https://klasma.github.io/Logging_1461/tillsyn/A 11965-2026 tillsynsbegäran.docx", "A 11965-2026")</f>
        <v/>
      </c>
      <c r="AB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46220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46220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46220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Y12">
        <f>HYPERLINK("https://klasma.github.io/Logging_1461/klagomål/A 5841-2023 FSC-klagomål.docx", "A 5841-2023")</f>
        <v/>
      </c>
      <c r="Z12">
        <f>HYPERLINK("https://klasma.github.io/Logging_1461/klagomålsmail/A 5841-2023 FSC-klagomål mail.docx", "A 5841-2023")</f>
        <v/>
      </c>
      <c r="AA12">
        <f>HYPERLINK("https://klasma.github.io/Logging_1461/tillsyn/A 5841-2023 tillsynsbegäran.docx", "A 5841-2023")</f>
        <v/>
      </c>
      <c r="AB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46220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Y13">
        <f>HYPERLINK("https://klasma.github.io/Logging_1461/klagomål/A 13523-2023 FSC-klagomål.docx", "A 13523-2023")</f>
        <v/>
      </c>
      <c r="Z13">
        <f>HYPERLINK("https://klasma.github.io/Logging_1461/klagomålsmail/A 13523-2023 FSC-klagomål mail.docx", "A 13523-2023")</f>
        <v/>
      </c>
      <c r="AA13">
        <f>HYPERLINK("https://klasma.github.io/Logging_1461/tillsyn/A 13523-2023 tillsynsbegäran.docx", "A 13523-2023")</f>
        <v/>
      </c>
      <c r="AB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46220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s="2" t="inlineStr">
        <is>
          <t>Ask
Guldlockmossa
Lönnlav
Rostfläck</t>
        </is>
      </c>
      <c r="V14">
        <f>HYPERLINK("https://klasma.github.io/Logging_1461/artfynd/A 25764-2025 artfynd.xlsx", "A 25764-2025")</f>
        <v/>
      </c>
      <c r="W14">
        <f>HYPERLINK("https://klasma.github.io/Logging_1461/kartor/A 25764-2025 karta.png", "A 25764-2025")</f>
        <v/>
      </c>
      <c r="Y14">
        <f>HYPERLINK("https://klasma.github.io/Logging_1461/klagomål/A 25764-2025 FSC-klagomål.docx", "A 25764-2025")</f>
        <v/>
      </c>
      <c r="Z14">
        <f>HYPERLINK("https://klasma.github.io/Logging_1461/klagomålsmail/A 25764-2025 FSC-klagomål mail.docx", "A 25764-2025")</f>
        <v/>
      </c>
      <c r="AA14">
        <f>HYPERLINK("https://klasma.github.io/Logging_1461/tillsyn/A 25764-2025 tillsynsbegäran.docx", "A 25764-2025")</f>
        <v/>
      </c>
      <c r="AB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46220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s="2" t="inlineStr">
        <is>
          <t>Skogsalm
Gulvit blekspik
Guldlockmossa
Gröngöling</t>
        </is>
      </c>
      <c r="V15">
        <f>HYPERLINK("https://klasma.github.io/Logging_1461/artfynd/A 28216-2026 artfynd.xlsx", "A 28216-2026")</f>
        <v/>
      </c>
      <c r="W15">
        <f>HYPERLINK("https://klasma.github.io/Logging_1461/kartor/A 28216-2026 karta.png", "A 28216-2026")</f>
        <v/>
      </c>
      <c r="Y15">
        <f>HYPERLINK("https://klasma.github.io/Logging_1461/klagomål/A 28216-2026 FSC-klagomål.docx", "A 28216-2026")</f>
        <v/>
      </c>
      <c r="Z15">
        <f>HYPERLINK("https://klasma.github.io/Logging_1461/klagomålsmail/A 28216-2026 FSC-klagomål mail.docx", "A 28216-2026")</f>
        <v/>
      </c>
      <c r="AA15">
        <f>HYPERLINK("https://klasma.github.io/Logging_1461/tillsyn/A 28216-2026 tillsynsbegäran.docx", "A 28216-2026")</f>
        <v/>
      </c>
      <c r="AB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46220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46220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46220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Trollsmultron
Skogsknipprot</t>
        </is>
      </c>
      <c r="V18">
        <f>HYPERLINK("https://klasma.github.io/Logging_1461/artfynd/A 58906-2022 artfynd.xlsx", "A 58906-2022")</f>
        <v/>
      </c>
      <c r="W18">
        <f>HYPERLINK("https://klasma.github.io/Logging_1461/kartor/A 58906-2022 karta.png", "A 58906-2022")</f>
        <v/>
      </c>
      <c r="Y18">
        <f>HYPERLINK("https://klasma.github.io/Logging_1461/klagomål/A 58906-2022 FSC-klagomål.docx", "A 58906-2022")</f>
        <v/>
      </c>
      <c r="Z18">
        <f>HYPERLINK("https://klasma.github.io/Logging_1461/klagomålsmail/A 58906-2022 FSC-klagomål mail.docx", "A 58906-2022")</f>
        <v/>
      </c>
      <c r="AA18">
        <f>HYPERLINK("https://klasma.github.io/Logging_1461/tillsyn/A 58906-2022 tillsynsbegäran.docx", "A 58906-2022")</f>
        <v/>
      </c>
      <c r="AB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46220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Skogsklocka
Skogsknipprot</t>
        </is>
      </c>
      <c r="V19">
        <f>HYPERLINK("https://klasma.github.io/Logging_1461/artfynd/A 19281-2025 artfynd.xlsx", "A 19281-2025")</f>
        <v/>
      </c>
      <c r="W19">
        <f>HYPERLINK("https://klasma.github.io/Logging_1461/kartor/A 19281-2025 karta.png", "A 19281-2025")</f>
        <v/>
      </c>
      <c r="Y19">
        <f>HYPERLINK("https://klasma.github.io/Logging_1461/klagomål/A 19281-2025 FSC-klagomål.docx", "A 19281-2025")</f>
        <v/>
      </c>
      <c r="Z19">
        <f>HYPERLINK("https://klasma.github.io/Logging_1461/klagomålsmail/A 19281-2025 FSC-klagomål mail.docx", "A 19281-2025")</f>
        <v/>
      </c>
      <c r="AA19">
        <f>HYPERLINK("https://klasma.github.io/Logging_1461/tillsyn/A 19281-2025 tillsynsbegäran.docx", "A 19281-2025")</f>
        <v/>
      </c>
      <c r="AB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46220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46220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46220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Brunfläckig pärlemorfjäril</t>
        </is>
      </c>
      <c r="V22">
        <f>HYPERLINK("https://klasma.github.io/Logging_1461/artfynd/A 10814-2024 artfynd.xlsx", "A 10814-2024")</f>
        <v/>
      </c>
      <c r="W22">
        <f>HYPERLINK("https://klasma.github.io/Logging_1461/kartor/A 10814-2024 karta.png", "A 10814-2024")</f>
        <v/>
      </c>
      <c r="Y22">
        <f>HYPERLINK("https://klasma.github.io/Logging_1461/klagomål/A 10814-2024 FSC-klagomål.docx", "A 10814-2024")</f>
        <v/>
      </c>
      <c r="Z22">
        <f>HYPERLINK("https://klasma.github.io/Logging_1461/klagomålsmail/A 10814-2024 FSC-klagomål mail.docx", "A 10814-2024")</f>
        <v/>
      </c>
      <c r="AA22">
        <f>HYPERLINK("https://klasma.github.io/Logging_1461/tillsyn/A 10814-2024 tillsynsbegäran.docx", "A 10814-2024")</f>
        <v/>
      </c>
      <c r="AB22">
        <f>HYPERLINK("https://klasma.github.io/Logging_1461/tillsynsmail/A 10814-2024 tillsynsbegäran mail.docx", "A 10814-2024")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46220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43349-2024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46220</v>
      </c>
      <c r="F24" t="inlineStr">
        <is>
          <t>VÄSTRA GÖTALANDS LÄN</t>
        </is>
      </c>
      <c r="G24" t="inlineStr">
        <is>
          <t>MELLERUD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Älg</t>
        </is>
      </c>
      <c r="V24">
        <f>HYPERLINK("https://klasma.github.io/Logging_1461/artfynd/A 43349-2024 artfynd.xlsx", "A 43349-2024")</f>
        <v/>
      </c>
      <c r="W24">
        <f>HYPERLINK("https://klasma.github.io/Logging_1461/kartor/A 43349-2024 karta.png", "A 43349-2024")</f>
        <v/>
      </c>
      <c r="Y24">
        <f>HYPERLINK("https://klasma.github.io/Logging_1461/klagomål/A 43349-2024 FSC-klagomål.docx", "A 43349-2024")</f>
        <v/>
      </c>
      <c r="Z24">
        <f>HYPERLINK("https://klasma.github.io/Logging_1461/klagomålsmail/A 43349-2024 FSC-klagomål mail.docx", "A 43349-2024")</f>
        <v/>
      </c>
      <c r="AA24">
        <f>HYPERLINK("https://klasma.github.io/Logging_1461/tillsyn/A 43349-2024 tillsynsbegäran.docx", "A 43349-2024")</f>
        <v/>
      </c>
      <c r="AB24">
        <f>HYPERLINK("https://klasma.github.io/Logging_1461/tillsynsmail/A 43349-2024 tillsynsbegäran mail.docx", "A 43349-2024")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46220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46220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46220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46220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46220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46220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46220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46220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46220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46220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46220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46220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46220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46220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46220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46220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46220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46220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46220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46220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46220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46220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46220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46220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46220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46220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46220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46220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46220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46220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46220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46220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46220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46220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46220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46220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46220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46220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45684</v>
      </c>
      <c r="E63" s="1" t="n">
        <v>46220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46220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9152-2024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45357</v>
      </c>
      <c r="E65" s="1" t="n">
        <v>46220</v>
      </c>
      <c r="F65" t="inlineStr">
        <is>
          <t>VÄSTRA GÖTALANDS LÄN</t>
        </is>
      </c>
      <c r="G65" t="inlineStr">
        <is>
          <t>MELLERUD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19872-2023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46220</v>
      </c>
      <c r="F66" t="inlineStr">
        <is>
          <t>VÄSTRA GÖTALANDS LÄN</t>
        </is>
      </c>
      <c r="G66" t="inlineStr">
        <is>
          <t>MELLERUD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56025-2024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45624</v>
      </c>
      <c r="E67" s="1" t="n">
        <v>46220</v>
      </c>
      <c r="F67" t="inlineStr">
        <is>
          <t>VÄSTRA GÖTALANDS LÄN</t>
        </is>
      </c>
      <c r="G67" t="inlineStr">
        <is>
          <t>MELLERUD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32549-2024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45513</v>
      </c>
      <c r="E68" s="1" t="n">
        <v>46220</v>
      </c>
      <c r="F68" t="inlineStr">
        <is>
          <t>VÄSTRA GÖTALANDS LÄN</t>
        </is>
      </c>
      <c r="G68" t="inlineStr">
        <is>
          <t>MELLERUD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52269-2022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46220</v>
      </c>
      <c r="F69" t="inlineStr">
        <is>
          <t>VÄSTRA GÖTALANDS LÄN</t>
        </is>
      </c>
      <c r="G69" t="inlineStr">
        <is>
          <t>MELLERUD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9456-2024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46220</v>
      </c>
      <c r="F70" t="inlineStr">
        <is>
          <t>VÄSTRA GÖTALANDS LÄN</t>
        </is>
      </c>
      <c r="G70" t="inlineStr">
        <is>
          <t>MELLERUD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51173-2023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45212</v>
      </c>
      <c r="E71" s="1" t="n">
        <v>46220</v>
      </c>
      <c r="F71" t="inlineStr">
        <is>
          <t>VÄSTRA GÖTALANDS LÄN</t>
        </is>
      </c>
      <c r="G71" t="inlineStr">
        <is>
          <t>MELLERUD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7154-2024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45344</v>
      </c>
      <c r="E72" s="1" t="n">
        <v>46220</v>
      </c>
      <c r="F72" t="inlineStr">
        <is>
          <t>VÄSTRA GÖTALANDS LÄN</t>
        </is>
      </c>
      <c r="G72" t="inlineStr">
        <is>
          <t>MELLERUD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46220</v>
      </c>
      <c r="F73" t="inlineStr">
        <is>
          <t>VÄSTRA GÖTALANDS LÄN</t>
        </is>
      </c>
      <c r="G73" t="inlineStr">
        <is>
          <t>MELLERUD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33388-2022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46220</v>
      </c>
      <c r="F74" t="inlineStr">
        <is>
          <t>VÄSTRA GÖTALANDS LÄN</t>
        </is>
      </c>
      <c r="G74" t="inlineStr">
        <is>
          <t>MELLERUD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24978-2022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46220</v>
      </c>
      <c r="F75" t="inlineStr">
        <is>
          <t>VÄSTRA GÖTALANDS LÄN</t>
        </is>
      </c>
      <c r="G75" t="inlineStr">
        <is>
          <t>MELLERUD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46917-2022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46220</v>
      </c>
      <c r="F76" t="inlineStr">
        <is>
          <t>VÄSTRA GÖTALANDS LÄN</t>
        </is>
      </c>
      <c r="G76" t="inlineStr">
        <is>
          <t>MELLERUD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46220</v>
      </c>
      <c r="F77" t="inlineStr">
        <is>
          <t>VÄSTRA GÖTALANDS LÄN</t>
        </is>
      </c>
      <c r="G77" t="inlineStr">
        <is>
          <t>MELLERUD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37267-2024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45540</v>
      </c>
      <c r="E78" s="1" t="n">
        <v>46220</v>
      </c>
      <c r="F78" t="inlineStr">
        <is>
          <t>VÄSTRA GÖTALANDS LÄN</t>
        </is>
      </c>
      <c r="G78" t="inlineStr">
        <is>
          <t>MELLERUD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46220</v>
      </c>
      <c r="F79" t="inlineStr">
        <is>
          <t>VÄSTRA GÖTALANDS LÄN</t>
        </is>
      </c>
      <c r="G79" t="inlineStr">
        <is>
          <t>MELLERUD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14596-2022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44655</v>
      </c>
      <c r="E80" s="1" t="n">
        <v>46220</v>
      </c>
      <c r="F80" t="inlineStr">
        <is>
          <t>VÄSTRA GÖTALANDS LÄN</t>
        </is>
      </c>
      <c r="G80" t="inlineStr">
        <is>
          <t>MELLERUD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13800-2023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46220</v>
      </c>
      <c r="F81" t="inlineStr">
        <is>
          <t>VÄSTRA GÖTALANDS LÄN</t>
        </is>
      </c>
      <c r="G81" t="inlineStr">
        <is>
          <t>MELLERUD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43017-2024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45567</v>
      </c>
      <c r="E82" s="1" t="n">
        <v>46220</v>
      </c>
      <c r="F82" t="inlineStr">
        <is>
          <t>VÄSTRA GÖTALANDS LÄN</t>
        </is>
      </c>
      <c r="G82" t="inlineStr">
        <is>
          <t>MELLERUD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8155-2023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46220</v>
      </c>
      <c r="F83" t="inlineStr">
        <is>
          <t>VÄSTRA GÖTALANDS LÄN</t>
        </is>
      </c>
      <c r="G83" t="inlineStr">
        <is>
          <t>MELLERUD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25623-2025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46220</v>
      </c>
      <c r="F84" t="inlineStr">
        <is>
          <t>VÄSTRA GÖTALANDS LÄN</t>
        </is>
      </c>
      <c r="G84" t="inlineStr">
        <is>
          <t>MELLERUD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38653-2025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46220</v>
      </c>
      <c r="F85" t="inlineStr">
        <is>
          <t>VÄSTRA GÖTALANDS LÄN</t>
        </is>
      </c>
      <c r="G85" t="inlineStr">
        <is>
          <t>MELLERUD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44636</v>
      </c>
      <c r="E86" s="1" t="n">
        <v>46220</v>
      </c>
      <c r="F86" t="inlineStr">
        <is>
          <t>VÄSTRA GÖTALANDS LÄN</t>
        </is>
      </c>
      <c r="G86" t="inlineStr">
        <is>
          <t>MELLERUD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25652-2025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46220</v>
      </c>
      <c r="F87" t="inlineStr">
        <is>
          <t>VÄSTRA GÖTALANDS LÄN</t>
        </is>
      </c>
      <c r="G87" t="inlineStr">
        <is>
          <t>MELLERUD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25635-2025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46220</v>
      </c>
      <c r="F88" t="inlineStr">
        <is>
          <t>VÄSTRA GÖTALANDS LÄN</t>
        </is>
      </c>
      <c r="G88" t="inlineStr">
        <is>
          <t>MELLERUD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46220</v>
      </c>
      <c r="F89" t="inlineStr">
        <is>
          <t>VÄSTRA GÖTALANDS LÄN</t>
        </is>
      </c>
      <c r="G89" t="inlineStr">
        <is>
          <t>MELLERUD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46220</v>
      </c>
      <c r="F90" t="inlineStr">
        <is>
          <t>VÄSTRA GÖTALANDS LÄN</t>
        </is>
      </c>
      <c r="G90" t="inlineStr">
        <is>
          <t>MELLERUD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46220</v>
      </c>
      <c r="F91" t="inlineStr">
        <is>
          <t>VÄSTRA GÖTALANDS LÄN</t>
        </is>
      </c>
      <c r="G91" t="inlineStr">
        <is>
          <t>MELLERUD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51783-2023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46220</v>
      </c>
      <c r="F92" t="inlineStr">
        <is>
          <t>VÄSTRA GÖTALANDS LÄN</t>
        </is>
      </c>
      <c r="G92" t="inlineStr">
        <is>
          <t>MELLERUD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60395-2024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45643</v>
      </c>
      <c r="E93" s="1" t="n">
        <v>46220</v>
      </c>
      <c r="F93" t="inlineStr">
        <is>
          <t>VÄSTRA GÖTALANDS LÄN</t>
        </is>
      </c>
      <c r="G93" t="inlineStr">
        <is>
          <t>MELLERUD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39535-2024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46220</v>
      </c>
      <c r="F94" t="inlineStr">
        <is>
          <t>VÄSTRA GÖTALANDS LÄN</t>
        </is>
      </c>
      <c r="G94" t="inlineStr">
        <is>
          <t>MELLERUD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17693-2023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45037</v>
      </c>
      <c r="E95" s="1" t="n">
        <v>46220</v>
      </c>
      <c r="F95" t="inlineStr">
        <is>
          <t>VÄSTRA GÖTALANDS LÄN</t>
        </is>
      </c>
      <c r="G95" t="inlineStr">
        <is>
          <t>MELLERUD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44971</v>
      </c>
      <c r="E96" s="1" t="n">
        <v>46220</v>
      </c>
      <c r="F96" t="inlineStr">
        <is>
          <t>VÄSTRA GÖTALANDS LÄN</t>
        </is>
      </c>
      <c r="G96" t="inlineStr">
        <is>
          <t>MELLERUD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46220</v>
      </c>
      <c r="F97" t="inlineStr">
        <is>
          <t>VÄSTRA GÖTALANDS LÄN</t>
        </is>
      </c>
      <c r="G97" t="inlineStr">
        <is>
          <t>MELLERUD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11848-2025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46220</v>
      </c>
      <c r="F98" t="inlineStr">
        <is>
          <t>VÄSTRA GÖTALANDS LÄN</t>
        </is>
      </c>
      <c r="G98" t="inlineStr">
        <is>
          <t>MELLERUD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8165-2023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46220</v>
      </c>
      <c r="F99" t="inlineStr">
        <is>
          <t>VÄSTRA GÖTALANDS LÄN</t>
        </is>
      </c>
      <c r="G99" t="inlineStr">
        <is>
          <t>MELLERUD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17528-2024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46220</v>
      </c>
      <c r="F100" t="inlineStr">
        <is>
          <t>VÄSTRA GÖTALANDS LÄN</t>
        </is>
      </c>
      <c r="G100" t="inlineStr">
        <is>
          <t>MELLERUD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52922-2024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46220</v>
      </c>
      <c r="F101" t="inlineStr">
        <is>
          <t>VÄSTRA GÖTALANDS LÄN</t>
        </is>
      </c>
      <c r="G101" t="inlineStr">
        <is>
          <t>MELLERUD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46220</v>
      </c>
      <c r="F102" t="inlineStr">
        <is>
          <t>VÄSTRA GÖTALANDS LÄN</t>
        </is>
      </c>
      <c r="G102" t="inlineStr">
        <is>
          <t>MELLERUD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27908-2025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46220</v>
      </c>
      <c r="F103" t="inlineStr">
        <is>
          <t>VÄSTRA GÖTALANDS LÄN</t>
        </is>
      </c>
      <c r="G103" t="inlineStr">
        <is>
          <t>MELLERUD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46220</v>
      </c>
      <c r="F104" t="inlineStr">
        <is>
          <t>VÄSTRA GÖTALANDS LÄN</t>
        </is>
      </c>
      <c r="G104" t="inlineStr">
        <is>
          <t>MELLERUD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28319-2025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46220</v>
      </c>
      <c r="F105" t="inlineStr">
        <is>
          <t>VÄSTRA GÖTALANDS LÄN</t>
        </is>
      </c>
      <c r="G105" t="inlineStr">
        <is>
          <t>MELLERUD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17685-2024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46220</v>
      </c>
      <c r="F106" t="inlineStr">
        <is>
          <t>VÄSTRA GÖTALANDS LÄN</t>
        </is>
      </c>
      <c r="G106" t="inlineStr">
        <is>
          <t>MELLERUD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46220</v>
      </c>
      <c r="F107" t="inlineStr">
        <is>
          <t>VÄSTRA GÖTALANDS LÄN</t>
        </is>
      </c>
      <c r="G107" t="inlineStr">
        <is>
          <t>MELLERUD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42723-2025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46220</v>
      </c>
      <c r="F108" t="inlineStr">
        <is>
          <t>VÄSTRA GÖTALANDS LÄN</t>
        </is>
      </c>
      <c r="G108" t="inlineStr">
        <is>
          <t>MELLERUD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43398-2025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46220</v>
      </c>
      <c r="F109" t="inlineStr">
        <is>
          <t>VÄSTRA GÖTALANDS LÄN</t>
        </is>
      </c>
      <c r="G109" t="inlineStr">
        <is>
          <t>MELLERUD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46220</v>
      </c>
      <c r="F110" t="inlineStr">
        <is>
          <t>VÄSTRA GÖTALANDS LÄN</t>
        </is>
      </c>
      <c r="G110" t="inlineStr">
        <is>
          <t>MELLERUD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44020-2025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46220</v>
      </c>
      <c r="F111" t="inlineStr">
        <is>
          <t>VÄSTRA GÖTALANDS LÄN</t>
        </is>
      </c>
      <c r="G111" t="inlineStr">
        <is>
          <t>MELLERUD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44600-2025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46220</v>
      </c>
      <c r="F112" t="inlineStr">
        <is>
          <t>VÄSTRA GÖTALANDS LÄN</t>
        </is>
      </c>
      <c r="G112" t="inlineStr">
        <is>
          <t>MELLERUD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16656-2022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44672</v>
      </c>
      <c r="E113" s="1" t="n">
        <v>46220</v>
      </c>
      <c r="F113" t="inlineStr">
        <is>
          <t>VÄSTRA GÖTALANDS LÄN</t>
        </is>
      </c>
      <c r="G113" t="inlineStr">
        <is>
          <t>MELLERUD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44608-2025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46220</v>
      </c>
      <c r="F114" t="inlineStr">
        <is>
          <t>VÄSTRA GÖTALANDS LÄN</t>
        </is>
      </c>
      <c r="G114" t="inlineStr">
        <is>
          <t>MELLERUD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44573-2025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46220</v>
      </c>
      <c r="F115" t="inlineStr">
        <is>
          <t>VÄSTRA GÖTALANDS LÄN</t>
        </is>
      </c>
      <c r="G115" t="inlineStr">
        <is>
          <t>MELLERUD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32842-2025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46220</v>
      </c>
      <c r="F116" t="inlineStr">
        <is>
          <t>VÄSTRA GÖTALANDS LÄN</t>
        </is>
      </c>
      <c r="G116" t="inlineStr">
        <is>
          <t>MELLERUD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45861-2025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46220</v>
      </c>
      <c r="F117" t="inlineStr">
        <is>
          <t>VÄSTRA GÖTALANDS LÄN</t>
        </is>
      </c>
      <c r="G117" t="inlineStr">
        <is>
          <t>MELLERUD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46041</v>
      </c>
      <c r="E118" s="1" t="n">
        <v>46220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45935-2025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46220</v>
      </c>
      <c r="F119" t="inlineStr">
        <is>
          <t>VÄSTRA GÖTALANDS LÄN</t>
        </is>
      </c>
      <c r="G119" t="inlineStr">
        <is>
          <t>MELLERUD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46220</v>
      </c>
      <c r="F120" t="inlineStr">
        <is>
          <t>VÄSTRA GÖTALANDS LÄN</t>
        </is>
      </c>
      <c r="G120" t="inlineStr">
        <is>
          <t>MELLERUD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45991-2025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46220</v>
      </c>
      <c r="F121" t="inlineStr">
        <is>
          <t>VÄSTRA GÖTALANDS LÄN</t>
        </is>
      </c>
      <c r="G121" t="inlineStr">
        <is>
          <t>MELLERUD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25109-2022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46220</v>
      </c>
      <c r="F122" t="inlineStr">
        <is>
          <t>VÄSTRA GÖTALANDS LÄN</t>
        </is>
      </c>
      <c r="G122" t="inlineStr">
        <is>
          <t>MELLERUD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46220</v>
      </c>
      <c r="F123" t="inlineStr">
        <is>
          <t>VÄSTRA GÖTALANDS LÄN</t>
        </is>
      </c>
      <c r="G123" t="inlineStr">
        <is>
          <t>MELLERUD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46041</v>
      </c>
      <c r="E124" s="1" t="n">
        <v>46220</v>
      </c>
      <c r="F124" t="inlineStr">
        <is>
          <t>VÄSTRA GÖTALANDS LÄN</t>
        </is>
      </c>
      <c r="G124" t="inlineStr">
        <is>
          <t>MELLERUD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46668-2025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46220</v>
      </c>
      <c r="F125" t="inlineStr">
        <is>
          <t>VÄSTRA GÖTALANDS LÄN</t>
        </is>
      </c>
      <c r="G125" t="inlineStr">
        <is>
          <t>MELLERUD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45854</v>
      </c>
      <c r="E126" s="1" t="n">
        <v>46220</v>
      </c>
      <c r="F126" t="inlineStr">
        <is>
          <t>VÄSTRA GÖTALANDS LÄN</t>
        </is>
      </c>
      <c r="G126" t="inlineStr">
        <is>
          <t>MELLERUD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11442-2024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46220</v>
      </c>
      <c r="F127" t="inlineStr">
        <is>
          <t>VÄSTRA GÖTALANDS LÄN</t>
        </is>
      </c>
      <c r="G127" t="inlineStr">
        <is>
          <t>MELLERUD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23821-2024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45455</v>
      </c>
      <c r="E128" s="1" t="n">
        <v>46220</v>
      </c>
      <c r="F128" t="inlineStr">
        <is>
          <t>VÄSTRA GÖTALANDS LÄN</t>
        </is>
      </c>
      <c r="G128" t="inlineStr">
        <is>
          <t>MELLERUD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53307-2024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46220</v>
      </c>
      <c r="F129" t="inlineStr">
        <is>
          <t>VÄSTRA GÖTALANDS LÄN</t>
        </is>
      </c>
      <c r="G129" t="inlineStr">
        <is>
          <t>MELLERUD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46220</v>
      </c>
      <c r="F130" t="inlineStr">
        <is>
          <t>VÄSTRA GÖTALANDS LÄN</t>
        </is>
      </c>
      <c r="G130" t="inlineStr">
        <is>
          <t>MELLERUD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17543-2023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46220</v>
      </c>
      <c r="F131" t="inlineStr">
        <is>
          <t>VÄSTRA GÖTALANDS LÄN</t>
        </is>
      </c>
      <c r="G131" t="inlineStr">
        <is>
          <t>MELLERUD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15227-2025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46220</v>
      </c>
      <c r="F132" t="inlineStr">
        <is>
          <t>VÄSTRA GÖTALANDS LÄN</t>
        </is>
      </c>
      <c r="G132" t="inlineStr">
        <is>
          <t>MELLERUD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46220</v>
      </c>
      <c r="F133" t="inlineStr">
        <is>
          <t>VÄSTRA GÖTALANDS LÄN</t>
        </is>
      </c>
      <c r="G133" t="inlineStr">
        <is>
          <t>MELLERUD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36141-2025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46220</v>
      </c>
      <c r="F134" t="inlineStr">
        <is>
          <t>VÄSTRA GÖTALANDS LÄN</t>
        </is>
      </c>
      <c r="G134" t="inlineStr">
        <is>
          <t>MELLERUD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36145-2025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46220</v>
      </c>
      <c r="F135" t="inlineStr">
        <is>
          <t>VÄSTRA GÖTALANDS LÄN</t>
        </is>
      </c>
      <c r="G135" t="inlineStr">
        <is>
          <t>MELLERUD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36048-2025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45866</v>
      </c>
      <c r="E136" s="1" t="n">
        <v>46220</v>
      </c>
      <c r="F136" t="inlineStr">
        <is>
          <t>VÄSTRA GÖTALANDS LÄN</t>
        </is>
      </c>
      <c r="G136" t="inlineStr">
        <is>
          <t>MELLERUD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36138-2025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45866</v>
      </c>
      <c r="E137" s="1" t="n">
        <v>46220</v>
      </c>
      <c r="F137" t="inlineStr">
        <is>
          <t>VÄSTRA GÖTALANDS LÄN</t>
        </is>
      </c>
      <c r="G137" t="inlineStr">
        <is>
          <t>MELLERUD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53254-2022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46220</v>
      </c>
      <c r="F138" t="inlineStr">
        <is>
          <t>VÄSTRA GÖTALANDS LÄN</t>
        </is>
      </c>
      <c r="G138" t="inlineStr">
        <is>
          <t>MELLERUD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46220</v>
      </c>
      <c r="F139" t="inlineStr">
        <is>
          <t>VÄSTRA GÖTALANDS LÄN</t>
        </is>
      </c>
      <c r="G139" t="inlineStr">
        <is>
          <t>MELLERUD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36963-2025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46220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46220</v>
      </c>
      <c r="F141" t="inlineStr">
        <is>
          <t>VÄSTRA GÖTALANDS LÄN</t>
        </is>
      </c>
      <c r="G141" t="inlineStr">
        <is>
          <t>MELLERUD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52471-2023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46220</v>
      </c>
      <c r="F142" t="inlineStr">
        <is>
          <t>VÄSTRA GÖTALANDS LÄN</t>
        </is>
      </c>
      <c r="G142" t="inlineStr">
        <is>
          <t>MELLERUD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46220</v>
      </c>
      <c r="F143" t="inlineStr">
        <is>
          <t>VÄSTRA GÖTALANDS LÄN</t>
        </is>
      </c>
      <c r="G143" t="inlineStr">
        <is>
          <t>MELLERUD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46220</v>
      </c>
      <c r="F144" t="inlineStr">
        <is>
          <t>VÄSTRA GÖTALANDS LÄN</t>
        </is>
      </c>
      <c r="G144" t="inlineStr">
        <is>
          <t>MELLERUD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38040-2025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45882</v>
      </c>
      <c r="E145" s="1" t="n">
        <v>46220</v>
      </c>
      <c r="F145" t="inlineStr">
        <is>
          <t>VÄSTRA GÖTALANDS LÄN</t>
        </is>
      </c>
      <c r="G145" t="inlineStr">
        <is>
          <t>MELLERUD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38663-2025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46220</v>
      </c>
      <c r="F146" t="inlineStr">
        <is>
          <t>VÄSTRA GÖTALANDS LÄN</t>
        </is>
      </c>
      <c r="G146" t="inlineStr">
        <is>
          <t>MELLERUD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46220</v>
      </c>
      <c r="F147" t="inlineStr">
        <is>
          <t>VÄSTRA GÖTALANDS LÄN</t>
        </is>
      </c>
      <c r="G147" t="inlineStr">
        <is>
          <t>MELLERUD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43406-2025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46220</v>
      </c>
      <c r="F148" t="inlineStr">
        <is>
          <t>VÄSTRA GÖTALANDS LÄN</t>
        </is>
      </c>
      <c r="G148" t="inlineStr">
        <is>
          <t>MELLERUD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45400</v>
      </c>
      <c r="E149" s="1" t="n">
        <v>46220</v>
      </c>
      <c r="F149" t="inlineStr">
        <is>
          <t>VÄSTRA GÖTALANDS LÄN</t>
        </is>
      </c>
      <c r="G149" t="inlineStr">
        <is>
          <t>MELLERUD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45365</v>
      </c>
      <c r="E150" s="1" t="n">
        <v>46220</v>
      </c>
      <c r="F150" t="inlineStr">
        <is>
          <t>VÄSTRA GÖTALANDS LÄN</t>
        </is>
      </c>
      <c r="G150" t="inlineStr">
        <is>
          <t>MELLERUD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50478-2025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46220</v>
      </c>
      <c r="F151" t="inlineStr">
        <is>
          <t>VÄSTRA GÖTALANDS LÄN</t>
        </is>
      </c>
      <c r="G151" t="inlineStr">
        <is>
          <t>MELLERUD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46220</v>
      </c>
      <c r="F152" t="inlineStr">
        <is>
          <t>VÄSTRA GÖTALANDS LÄN</t>
        </is>
      </c>
      <c r="G152" t="inlineStr">
        <is>
          <t>MELLERUD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53232-2025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46220</v>
      </c>
      <c r="F153" t="inlineStr">
        <is>
          <t>VÄSTRA GÖTALANDS LÄN</t>
        </is>
      </c>
      <c r="G153" t="inlineStr">
        <is>
          <t>MELLERUD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46050</v>
      </c>
      <c r="E154" s="1" t="n">
        <v>46220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58861-2022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46220</v>
      </c>
      <c r="F155" t="inlineStr">
        <is>
          <t>VÄSTRA GÖTALANDS LÄN</t>
        </is>
      </c>
      <c r="G155" t="inlineStr">
        <is>
          <t>MELLERUD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11256-2025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46220</v>
      </c>
      <c r="F156" t="inlineStr">
        <is>
          <t>VÄSTRA GÖTALANDS LÄN</t>
        </is>
      </c>
      <c r="G156" t="inlineStr">
        <is>
          <t>MELLERUD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8923-2024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46220</v>
      </c>
      <c r="F157" t="inlineStr">
        <is>
          <t>VÄSTRA GÖTALANDS LÄN</t>
        </is>
      </c>
      <c r="G157" t="inlineStr">
        <is>
          <t>MELLERUD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46220</v>
      </c>
      <c r="F158" t="inlineStr">
        <is>
          <t>VÄSTRA GÖTALANDS LÄN</t>
        </is>
      </c>
      <c r="G158" t="inlineStr">
        <is>
          <t>MELLERUD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39942-2023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46220</v>
      </c>
      <c r="F159" t="inlineStr">
        <is>
          <t>VÄSTRA GÖTALANDS LÄN</t>
        </is>
      </c>
      <c r="G159" t="inlineStr">
        <is>
          <t>MELLERUD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56026-2025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46220</v>
      </c>
      <c r="F160" t="inlineStr">
        <is>
          <t>VÄSTRA GÖTALANDS LÄN</t>
        </is>
      </c>
      <c r="G160" t="inlineStr">
        <is>
          <t>MELLERUD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7125-2026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46220</v>
      </c>
      <c r="F161" t="inlineStr">
        <is>
          <t>VÄSTRA GÖTALANDS LÄN</t>
        </is>
      </c>
      <c r="G161" t="inlineStr">
        <is>
          <t>MELLERUD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46220</v>
      </c>
      <c r="F162" t="inlineStr">
        <is>
          <t>VÄSTRA GÖTALANDS LÄN</t>
        </is>
      </c>
      <c r="G162" t="inlineStr">
        <is>
          <t>MELLERUD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46220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7120-2026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46220</v>
      </c>
      <c r="F164" t="inlineStr">
        <is>
          <t>VÄSTRA GÖTALANDS LÄN</t>
        </is>
      </c>
      <c r="G164" t="inlineStr">
        <is>
          <t>MELLERUD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7117-2026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46220</v>
      </c>
      <c r="F165" t="inlineStr">
        <is>
          <t>VÄSTRA GÖTALANDS LÄN</t>
        </is>
      </c>
      <c r="G165" t="inlineStr">
        <is>
          <t>MELLERUD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32384-2023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45120</v>
      </c>
      <c r="E166" s="1" t="n">
        <v>46220</v>
      </c>
      <c r="F166" t="inlineStr">
        <is>
          <t>VÄSTRA GÖTALANDS LÄN</t>
        </is>
      </c>
      <c r="G166" t="inlineStr">
        <is>
          <t>MELLERUD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46220</v>
      </c>
      <c r="F167" t="inlineStr">
        <is>
          <t>VÄSTRA GÖTALANDS LÄN</t>
        </is>
      </c>
      <c r="G167" t="inlineStr">
        <is>
          <t>MELLERUD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59802-2025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46220</v>
      </c>
      <c r="F168" t="inlineStr">
        <is>
          <t>VÄSTRA GÖTALANDS LÄN</t>
        </is>
      </c>
      <c r="G168" t="inlineStr">
        <is>
          <t>MELLERUD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8160-2026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46220</v>
      </c>
      <c r="F169" t="inlineStr">
        <is>
          <t>VÄSTRA GÖTALANDS LÄN</t>
        </is>
      </c>
      <c r="G169" t="inlineStr">
        <is>
          <t>MELLERUD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59808-2025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46220</v>
      </c>
      <c r="F170" t="inlineStr">
        <is>
          <t>VÄSTRA GÖTALANDS LÄN</t>
        </is>
      </c>
      <c r="G170" t="inlineStr">
        <is>
          <t>MELLERUD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46220</v>
      </c>
      <c r="F171" t="inlineStr">
        <is>
          <t>VÄSTRA GÖTALANDS LÄN</t>
        </is>
      </c>
      <c r="G171" t="inlineStr">
        <is>
          <t>MELLERUD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31122-2023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45113</v>
      </c>
      <c r="E172" s="1" t="n">
        <v>46220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60203-2025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46220</v>
      </c>
      <c r="F173" t="inlineStr">
        <is>
          <t>VÄSTRA GÖTALANDS LÄN</t>
        </is>
      </c>
      <c r="G173" t="inlineStr">
        <is>
          <t>MELLERUD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61177-2025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46000</v>
      </c>
      <c r="E174" s="1" t="n">
        <v>46220</v>
      </c>
      <c r="F174" t="inlineStr">
        <is>
          <t>VÄSTRA GÖTALANDS LÄN</t>
        </is>
      </c>
      <c r="G174" t="inlineStr">
        <is>
          <t>MELLERUD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46220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44965</v>
      </c>
      <c r="E176" s="1" t="n">
        <v>46220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40064-2023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46220</v>
      </c>
      <c r="F177" t="inlineStr">
        <is>
          <t>VÄSTRA GÖTALANDS LÄN</t>
        </is>
      </c>
      <c r="G177" t="inlineStr">
        <is>
          <t>MELLERUD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34415-2024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45525</v>
      </c>
      <c r="E178" s="1" t="n">
        <v>46220</v>
      </c>
      <c r="F178" t="inlineStr">
        <is>
          <t>VÄSTRA GÖTALANDS LÄN</t>
        </is>
      </c>
      <c r="G178" t="inlineStr">
        <is>
          <t>MELLERUD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46220</v>
      </c>
      <c r="F179" t="inlineStr">
        <is>
          <t>VÄSTRA GÖTALANDS LÄN</t>
        </is>
      </c>
      <c r="G179" t="inlineStr">
        <is>
          <t>MELLERUD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46761-2023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46220</v>
      </c>
      <c r="F180" t="inlineStr">
        <is>
          <t>VÄSTRA GÖTALANDS LÄN</t>
        </is>
      </c>
      <c r="G180" t="inlineStr">
        <is>
          <t>MELLERUD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21077-2023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45057</v>
      </c>
      <c r="E181" s="1" t="n">
        <v>46220</v>
      </c>
      <c r="F181" t="inlineStr">
        <is>
          <t>VÄSTRA GÖTALANDS LÄN</t>
        </is>
      </c>
      <c r="G181" t="inlineStr">
        <is>
          <t>MELLERUD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22313-2023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46220</v>
      </c>
      <c r="F182" t="inlineStr">
        <is>
          <t>VÄSTRA GÖTALANDS LÄN</t>
        </is>
      </c>
      <c r="G182" t="inlineStr">
        <is>
          <t>MELLERUD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9573-2026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46220</v>
      </c>
      <c r="F183" t="inlineStr">
        <is>
          <t>VÄSTRA GÖTALANDS LÄN</t>
        </is>
      </c>
      <c r="G183" t="inlineStr">
        <is>
          <t>MELLERUD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52128-2021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46220</v>
      </c>
      <c r="F184" t="inlineStr">
        <is>
          <t>VÄSTRA GÖTALANDS LÄN</t>
        </is>
      </c>
      <c r="G184" t="inlineStr">
        <is>
          <t>MELLERUD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17160-2024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46220</v>
      </c>
      <c r="F185" t="inlineStr">
        <is>
          <t>VÄSTRA GÖTALANDS LÄN</t>
        </is>
      </c>
      <c r="G185" t="inlineStr">
        <is>
          <t>MELLERUD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48256-2022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46220</v>
      </c>
      <c r="F186" t="inlineStr">
        <is>
          <t>VÄSTRA GÖTALANDS LÄN</t>
        </is>
      </c>
      <c r="G186" t="inlineStr">
        <is>
          <t>MELLERUD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46220</v>
      </c>
      <c r="F187" t="inlineStr">
        <is>
          <t>VÄSTRA GÖTALANDS LÄN</t>
        </is>
      </c>
      <c r="G187" t="inlineStr">
        <is>
          <t>MELLERUD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46220</v>
      </c>
      <c r="F188" t="inlineStr">
        <is>
          <t>VÄSTRA GÖTALANDS LÄN</t>
        </is>
      </c>
      <c r="G188" t="inlineStr">
        <is>
          <t>MELLERUD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11073-2026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46220</v>
      </c>
      <c r="F189" t="inlineStr">
        <is>
          <t>VÄSTRA GÖTALANDS LÄN</t>
        </is>
      </c>
      <c r="G189" t="inlineStr">
        <is>
          <t>MELLERUD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11121-2026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46079</v>
      </c>
      <c r="E190" s="1" t="n">
        <v>46220</v>
      </c>
      <c r="F190" t="inlineStr">
        <is>
          <t>VÄSTRA GÖTALANDS LÄN</t>
        </is>
      </c>
      <c r="G190" t="inlineStr">
        <is>
          <t>MELLERUD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11323-2026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46080</v>
      </c>
      <c r="E191" s="1" t="n">
        <v>46220</v>
      </c>
      <c r="F191" t="inlineStr">
        <is>
          <t>VÄSTRA GÖTALANDS LÄN</t>
        </is>
      </c>
      <c r="G191" t="inlineStr">
        <is>
          <t>MELLERUD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8152-2023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46220</v>
      </c>
      <c r="F192" t="inlineStr">
        <is>
          <t>VÄSTRA GÖTALANDS LÄN</t>
        </is>
      </c>
      <c r="G192" t="inlineStr">
        <is>
          <t>MELLERUD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40065-2023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46220</v>
      </c>
      <c r="F193" t="inlineStr">
        <is>
          <t>VÄSTRA GÖTALANDS LÄN</t>
        </is>
      </c>
      <c r="G193" t="inlineStr">
        <is>
          <t>MELLERUD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45195</v>
      </c>
      <c r="E194" s="1" t="n">
        <v>46220</v>
      </c>
      <c r="F194" t="inlineStr">
        <is>
          <t>VÄSTRA GÖTALANDS LÄN</t>
        </is>
      </c>
      <c r="G194" t="inlineStr">
        <is>
          <t>MELLERUD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51463-2023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45221</v>
      </c>
      <c r="E195" s="1" t="n">
        <v>46220</v>
      </c>
      <c r="F195" t="inlineStr">
        <is>
          <t>VÄSTRA GÖTALANDS LÄN</t>
        </is>
      </c>
      <c r="G195" t="inlineStr">
        <is>
          <t>MELLERUD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8492-2022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44613</v>
      </c>
      <c r="E196" s="1" t="n">
        <v>46220</v>
      </c>
      <c r="F196" t="inlineStr">
        <is>
          <t>VÄSTRA GÖTALANDS LÄN</t>
        </is>
      </c>
      <c r="G196" t="inlineStr">
        <is>
          <t>MELLERUD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13594-2026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46096</v>
      </c>
      <c r="E197" s="1" t="n">
        <v>46220</v>
      </c>
      <c r="F197" t="inlineStr">
        <is>
          <t>VÄSTRA GÖTALANDS LÄN</t>
        </is>
      </c>
      <c r="G197" t="inlineStr">
        <is>
          <t>MELLERUD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48879-2024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46220</v>
      </c>
      <c r="F198" t="inlineStr">
        <is>
          <t>VÄSTRA GÖTALANDS LÄN</t>
        </is>
      </c>
      <c r="G198" t="inlineStr">
        <is>
          <t>MELLERUD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46220</v>
      </c>
      <c r="F199" t="inlineStr">
        <is>
          <t>VÄSTRA GÖTALANDS LÄN</t>
        </is>
      </c>
      <c r="G199" t="inlineStr">
        <is>
          <t>MELLERUD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46220</v>
      </c>
      <c r="F200" t="inlineStr">
        <is>
          <t>VÄSTRA GÖTALANDS LÄN</t>
        </is>
      </c>
      <c r="G200" t="inlineStr">
        <is>
          <t>MELLERUD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12713-2022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44641</v>
      </c>
      <c r="E201" s="1" t="n">
        <v>46220</v>
      </c>
      <c r="F201" t="inlineStr">
        <is>
          <t>VÄSTRA GÖTALANDS LÄN</t>
        </is>
      </c>
      <c r="G201" t="inlineStr">
        <is>
          <t>MELLERUD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11219-2024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46220</v>
      </c>
      <c r="F202" t="inlineStr">
        <is>
          <t>VÄSTRA GÖTALANDS LÄN</t>
        </is>
      </c>
      <c r="G202" t="inlineStr">
        <is>
          <t>MELLERUD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18205-2024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45420</v>
      </c>
      <c r="E203" s="1" t="n">
        <v>46220</v>
      </c>
      <c r="F203" t="inlineStr">
        <is>
          <t>VÄSTRA GÖTALANDS LÄN</t>
        </is>
      </c>
      <c r="G203" t="inlineStr">
        <is>
          <t>MELLERUD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18055-2026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46125</v>
      </c>
      <c r="E204" s="1" t="n">
        <v>46220</v>
      </c>
      <c r="F204" t="inlineStr">
        <is>
          <t>VÄSTRA GÖTALANDS LÄN</t>
        </is>
      </c>
      <c r="G204" t="inlineStr">
        <is>
          <t>MELLERUD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10428-2022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46220</v>
      </c>
      <c r="F205" t="inlineStr">
        <is>
          <t>VÄSTRA GÖTALANDS LÄN</t>
        </is>
      </c>
      <c r="G205" t="inlineStr">
        <is>
          <t>MELLERUD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24312-2025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46220</v>
      </c>
      <c r="F206" t="inlineStr">
        <is>
          <t>VÄSTRA GÖTALANDS LÄN</t>
        </is>
      </c>
      <c r="G206" t="inlineStr">
        <is>
          <t>MELLERUD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46220</v>
      </c>
      <c r="F207" t="inlineStr">
        <is>
          <t>VÄSTRA GÖTALANDS LÄN</t>
        </is>
      </c>
      <c r="G207" t="inlineStr">
        <is>
          <t>MELLERUD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35603-2024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46220</v>
      </c>
      <c r="F208" t="inlineStr">
        <is>
          <t>VÄSTRA GÖTALANDS LÄN</t>
        </is>
      </c>
      <c r="G208" t="inlineStr">
        <is>
          <t>MELLERUD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54796-2022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44883</v>
      </c>
      <c r="E209" s="1" t="n">
        <v>46220</v>
      </c>
      <c r="F209" t="inlineStr">
        <is>
          <t>VÄSTRA GÖTALANDS LÄN</t>
        </is>
      </c>
      <c r="G209" t="inlineStr">
        <is>
          <t>MELLERUD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36146-2025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45866</v>
      </c>
      <c r="E210" s="1" t="n">
        <v>46220</v>
      </c>
      <c r="F210" t="inlineStr">
        <is>
          <t>VÄSTRA GÖTALANDS LÄN</t>
        </is>
      </c>
      <c r="G210" t="inlineStr">
        <is>
          <t>MELLERUD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46220</v>
      </c>
      <c r="F211" t="inlineStr">
        <is>
          <t>VÄSTRA GÖTALANDS LÄN</t>
        </is>
      </c>
      <c r="G211" t="inlineStr">
        <is>
          <t>MELLERUD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49449-2025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46220</v>
      </c>
      <c r="F212" t="inlineStr">
        <is>
          <t>VÄSTRA GÖTALANDS LÄN</t>
        </is>
      </c>
      <c r="G212" t="inlineStr">
        <is>
          <t>MELLERUD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34116-2023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45126</v>
      </c>
      <c r="E213" s="1" t="n">
        <v>46220</v>
      </c>
      <c r="F213" t="inlineStr">
        <is>
          <t>VÄSTRA GÖTALANDS LÄN</t>
        </is>
      </c>
      <c r="G213" t="inlineStr">
        <is>
          <t>MELLERUD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46220</v>
      </c>
      <c r="F214" t="inlineStr">
        <is>
          <t>VÄSTRA GÖTALANDS LÄN</t>
        </is>
      </c>
      <c r="G214" t="inlineStr">
        <is>
          <t>MELLERUD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46220</v>
      </c>
      <c r="F215" t="inlineStr">
        <is>
          <t>VÄSTRA GÖTALANDS LÄN</t>
        </is>
      </c>
      <c r="G215" t="inlineStr">
        <is>
          <t>MELLERUD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25954-2026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46220</v>
      </c>
      <c r="F216" t="inlineStr">
        <is>
          <t>VÄSTRA GÖTALANDS LÄN</t>
        </is>
      </c>
      <c r="G216" t="inlineStr">
        <is>
          <t>MELLERUD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46220</v>
      </c>
      <c r="F217" t="inlineStr">
        <is>
          <t>VÄSTRA GÖTALANDS LÄN</t>
        </is>
      </c>
      <c r="G217" t="inlineStr">
        <is>
          <t>MELLERUD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44929</v>
      </c>
      <c r="E218" s="1" t="n">
        <v>46220</v>
      </c>
      <c r="F218" t="inlineStr">
        <is>
          <t>VÄSTRA GÖTALANDS LÄN</t>
        </is>
      </c>
      <c r="G218" t="inlineStr">
        <is>
          <t>MELLERUD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53565-2022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44879</v>
      </c>
      <c r="E219" s="1" t="n">
        <v>46220</v>
      </c>
      <c r="F219" t="inlineStr">
        <is>
          <t>VÄSTRA GÖTALANDS LÄN</t>
        </is>
      </c>
      <c r="G219" t="inlineStr">
        <is>
          <t>MELLERUD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26533-2026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46220</v>
      </c>
      <c r="F220" t="inlineStr">
        <is>
          <t>VÄSTRA GÖTALANDS LÄN</t>
        </is>
      </c>
      <c r="G220" t="inlineStr">
        <is>
          <t>MELLERUD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32299-2024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46220</v>
      </c>
      <c r="F221" t="inlineStr">
        <is>
          <t>VÄSTRA GÖTALANDS LÄN</t>
        </is>
      </c>
      <c r="G221" t="inlineStr">
        <is>
          <t>MELLERUD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59723-2025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46220</v>
      </c>
      <c r="F222" t="inlineStr">
        <is>
          <t>VÄSTRA GÖTALANDS LÄN</t>
        </is>
      </c>
      <c r="G222" t="inlineStr">
        <is>
          <t>MELLERUD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26536-2026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46220</v>
      </c>
      <c r="F223" t="inlineStr">
        <is>
          <t>VÄSTRA GÖTALANDS LÄN</t>
        </is>
      </c>
      <c r="G223" t="inlineStr">
        <is>
          <t>MELLERUD</t>
        </is>
      </c>
      <c r="H223" t="inlineStr">
        <is>
          <t>Kommuner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46076-2021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44442</v>
      </c>
      <c r="E224" s="1" t="n">
        <v>46220</v>
      </c>
      <c r="F224" t="inlineStr">
        <is>
          <t>VÄSTRA GÖTALANDS LÄN</t>
        </is>
      </c>
      <c r="G224" t="inlineStr">
        <is>
          <t>MELLERUD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20573-2026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46220</v>
      </c>
      <c r="F225" t="inlineStr">
        <is>
          <t>VÄSTRA GÖTALANDS LÄN</t>
        </is>
      </c>
      <c r="G225" t="inlineStr">
        <is>
          <t>MELLERUD</t>
        </is>
      </c>
      <c r="H225" t="inlineStr">
        <is>
          <t>Kommuner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26518-2026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46220</v>
      </c>
      <c r="F226" t="inlineStr">
        <is>
          <t>VÄSTRA GÖTALANDS LÄN</t>
        </is>
      </c>
      <c r="G226" t="inlineStr">
        <is>
          <t>MELLERUD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46220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28865-2025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46220</v>
      </c>
      <c r="F228" t="inlineStr">
        <is>
          <t>VÄSTRA GÖTALANDS LÄN</t>
        </is>
      </c>
      <c r="G228" t="inlineStr">
        <is>
          <t>MELLERUD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32498-2024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45513</v>
      </c>
      <c r="E229" s="1" t="n">
        <v>46220</v>
      </c>
      <c r="F229" t="inlineStr">
        <is>
          <t>VÄSTRA GÖTALANDS LÄN</t>
        </is>
      </c>
      <c r="G229" t="inlineStr">
        <is>
          <t>MELLERUD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43353-2024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46220</v>
      </c>
      <c r="F230" t="inlineStr">
        <is>
          <t>VÄSTRA GÖTALANDS LÄN</t>
        </is>
      </c>
      <c r="G230" t="inlineStr">
        <is>
          <t>MELLERUD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51916-2022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44868</v>
      </c>
      <c r="E231" s="1" t="n">
        <v>46220</v>
      </c>
      <c r="F231" t="inlineStr">
        <is>
          <t>VÄSTRA GÖTALANDS LÄN</t>
        </is>
      </c>
      <c r="G231" t="inlineStr">
        <is>
          <t>MELLERUD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33666-2023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46220</v>
      </c>
      <c r="F232" t="inlineStr">
        <is>
          <t>VÄSTRA GÖTALANDS LÄN</t>
        </is>
      </c>
      <c r="G232" t="inlineStr">
        <is>
          <t>MELLERUD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51785-2023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46220</v>
      </c>
      <c r="F233" t="inlineStr">
        <is>
          <t>VÄSTRA GÖTALANDS LÄN</t>
        </is>
      </c>
      <c r="G233" t="inlineStr">
        <is>
          <t>MELLERUD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20781-2026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46220</v>
      </c>
      <c r="F234" t="inlineStr">
        <is>
          <t>VÄSTRA GÖTALANDS LÄN</t>
        </is>
      </c>
      <c r="G234" t="inlineStr">
        <is>
          <t>MELLERUD</t>
        </is>
      </c>
      <c r="H234" t="inlineStr">
        <is>
          <t>Övriga Aktiebolag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33092-2023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46220</v>
      </c>
      <c r="F235" t="inlineStr">
        <is>
          <t>VÄSTRA GÖTALANDS LÄN</t>
        </is>
      </c>
      <c r="G235" t="inlineStr">
        <is>
          <t>MELLERUD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55391-2023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46220</v>
      </c>
      <c r="F236" t="inlineStr">
        <is>
          <t>VÄSTRA GÖTALANDS LÄN</t>
        </is>
      </c>
      <c r="G236" t="inlineStr">
        <is>
          <t>MELLERUD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21432-2026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46148</v>
      </c>
      <c r="E237" s="1" t="n">
        <v>46220</v>
      </c>
      <c r="F237" t="inlineStr">
        <is>
          <t>VÄSTRA GÖTALANDS LÄN</t>
        </is>
      </c>
      <c r="G237" t="inlineStr">
        <is>
          <t>MELLERUD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46220</v>
      </c>
      <c r="F238" t="inlineStr">
        <is>
          <t>VÄSTRA GÖTALANDS LÄN</t>
        </is>
      </c>
      <c r="G238" t="inlineStr">
        <is>
          <t>MELLERUD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22364-2026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46220</v>
      </c>
      <c r="F239" t="inlineStr">
        <is>
          <t>VÄSTRA GÖTALANDS LÄN</t>
        </is>
      </c>
      <c r="G239" t="inlineStr">
        <is>
          <t>MELLERUD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15971-2023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45022</v>
      </c>
      <c r="E240" s="1" t="n">
        <v>46220</v>
      </c>
      <c r="F240" t="inlineStr">
        <is>
          <t>VÄSTRA GÖTALANDS LÄN</t>
        </is>
      </c>
      <c r="G240" t="inlineStr">
        <is>
          <t>MELLERUD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53317-2024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46220</v>
      </c>
      <c r="F241" t="inlineStr">
        <is>
          <t>VÄSTRA GÖTALANDS LÄN</t>
        </is>
      </c>
      <c r="G241" t="inlineStr">
        <is>
          <t>MELLERUD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22337-2026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46220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73351-2021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46220</v>
      </c>
      <c r="F243" t="inlineStr">
        <is>
          <t>VÄSTRA GÖTALANDS LÄN</t>
        </is>
      </c>
      <c r="G243" t="inlineStr">
        <is>
          <t>MELLERUD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26428-2022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44736</v>
      </c>
      <c r="E244" s="1" t="n">
        <v>46220</v>
      </c>
      <c r="F244" t="inlineStr">
        <is>
          <t>VÄSTRA GÖTALANDS LÄN</t>
        </is>
      </c>
      <c r="G244" t="inlineStr">
        <is>
          <t>MELLERUD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16746-2023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46220</v>
      </c>
      <c r="F245" t="inlineStr">
        <is>
          <t>VÄSTRA GÖTALANDS LÄN</t>
        </is>
      </c>
      <c r="G245" t="inlineStr">
        <is>
          <t>MELLERUD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46220</v>
      </c>
      <c r="F246" t="inlineStr">
        <is>
          <t>VÄSTRA GÖTALANDS LÄN</t>
        </is>
      </c>
      <c r="G246" t="inlineStr">
        <is>
          <t>MELLERUD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32832-2024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46220</v>
      </c>
      <c r="F247" t="inlineStr">
        <is>
          <t>VÄSTRA GÖTALANDS LÄN</t>
        </is>
      </c>
      <c r="G247" t="inlineStr">
        <is>
          <t>MELLERUD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21618-2024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46220</v>
      </c>
      <c r="F248" t="inlineStr">
        <is>
          <t>VÄSTRA GÖTALANDS LÄN</t>
        </is>
      </c>
      <c r="G248" t="inlineStr">
        <is>
          <t>MELLERUD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45442</v>
      </c>
      <c r="E249" s="1" t="n">
        <v>46220</v>
      </c>
      <c r="F249" t="inlineStr">
        <is>
          <t>VÄSTRA GÖTALANDS LÄN</t>
        </is>
      </c>
      <c r="G249" t="inlineStr">
        <is>
          <t>MELLERUD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59865-2024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46220</v>
      </c>
      <c r="F250" t="inlineStr">
        <is>
          <t>VÄSTRA GÖTALANDS LÄN</t>
        </is>
      </c>
      <c r="G250" t="inlineStr">
        <is>
          <t>MELLERUD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26530-2023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45092</v>
      </c>
      <c r="E251" s="1" t="n">
        <v>46220</v>
      </c>
      <c r="F251" t="inlineStr">
        <is>
          <t>VÄSTRA GÖTALANDS LÄN</t>
        </is>
      </c>
      <c r="G251" t="inlineStr">
        <is>
          <t>MELLERUD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46220</v>
      </c>
      <c r="F252" t="inlineStr">
        <is>
          <t>VÄSTRA GÖTALANDS LÄN</t>
        </is>
      </c>
      <c r="G252" t="inlineStr">
        <is>
          <t>MELLERUD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28863-2025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46220</v>
      </c>
      <c r="F253" t="inlineStr">
        <is>
          <t>VÄSTRA GÖTALANDS LÄN</t>
        </is>
      </c>
      <c r="G253" t="inlineStr">
        <is>
          <t>MELLERUD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20578-2026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46220</v>
      </c>
      <c r="F254" t="inlineStr">
        <is>
          <t>VÄSTRA GÖTALANDS LÄN</t>
        </is>
      </c>
      <c r="G254" t="inlineStr">
        <is>
          <t>MELLERUD</t>
        </is>
      </c>
      <c r="H254" t="inlineStr">
        <is>
          <t>Kommuner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29939-2026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46220</v>
      </c>
      <c r="F255" t="inlineStr">
        <is>
          <t>VÄSTRA GÖTALANDS LÄN</t>
        </is>
      </c>
      <c r="G255" t="inlineStr">
        <is>
          <t>MELLERUD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18854-2023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45042</v>
      </c>
      <c r="E256" s="1" t="n">
        <v>46220</v>
      </c>
      <c r="F256" t="inlineStr">
        <is>
          <t>VÄSTRA GÖTALANDS LÄN</t>
        </is>
      </c>
      <c r="G256" t="inlineStr">
        <is>
          <t>MELLERUD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14568-2022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44655</v>
      </c>
      <c r="E257" s="1" t="n">
        <v>46220</v>
      </c>
      <c r="F257" t="inlineStr">
        <is>
          <t>VÄSTRA GÖTALANDS LÄN</t>
        </is>
      </c>
      <c r="G257" t="inlineStr">
        <is>
          <t>MELLERUD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29936-2026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46220</v>
      </c>
      <c r="F258" t="inlineStr">
        <is>
          <t>VÄSTRA GÖTALANDS LÄN</t>
        </is>
      </c>
      <c r="G258" t="inlineStr">
        <is>
          <t>MELLERUD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61811-2023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45264</v>
      </c>
      <c r="E259" s="1" t="n">
        <v>46220</v>
      </c>
      <c r="F259" t="inlineStr">
        <is>
          <t>VÄSTRA GÖTALANDS LÄN</t>
        </is>
      </c>
      <c r="G259" t="inlineStr">
        <is>
          <t>MELLERUD</t>
        </is>
      </c>
      <c r="H259" t="inlineStr">
        <is>
          <t>Övriga Aktiebolag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25399-2023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45089</v>
      </c>
      <c r="E260" s="1" t="n">
        <v>46220</v>
      </c>
      <c r="F260" t="inlineStr">
        <is>
          <t>VÄSTRA GÖTALANDS LÄN</t>
        </is>
      </c>
      <c r="G260" t="inlineStr">
        <is>
          <t>MELLERUD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23238-2024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46220</v>
      </c>
      <c r="F261" t="inlineStr">
        <is>
          <t>VÄSTRA GÖTALANDS LÄN</t>
        </is>
      </c>
      <c r="G261" t="inlineStr">
        <is>
          <t>MELLERUD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53270-2024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46220</v>
      </c>
      <c r="F262" t="inlineStr">
        <is>
          <t>VÄSTRA GÖTALANDS LÄN</t>
        </is>
      </c>
      <c r="G262" t="inlineStr">
        <is>
          <t>MELLERUD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17538-2023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45036</v>
      </c>
      <c r="E263" s="1" t="n">
        <v>46220</v>
      </c>
      <c r="F263" t="inlineStr">
        <is>
          <t>VÄSTRA GÖTALANDS LÄN</t>
        </is>
      </c>
      <c r="G263" t="inlineStr">
        <is>
          <t>MELLERUD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44439</v>
      </c>
      <c r="E264" s="1" t="n">
        <v>46220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59269-2025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45988</v>
      </c>
      <c r="E265" s="1" t="n">
        <v>46220</v>
      </c>
      <c r="F265" t="inlineStr">
        <is>
          <t>VÄSTRA GÖTALANDS LÄN</t>
        </is>
      </c>
      <c r="G265" t="inlineStr">
        <is>
          <t>MELLERUD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19545-2024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46220</v>
      </c>
      <c r="F266" t="inlineStr">
        <is>
          <t>VÄSTRA GÖTALANDS LÄN</t>
        </is>
      </c>
      <c r="G266" t="inlineStr">
        <is>
          <t>MELLERUD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25036-2026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46220</v>
      </c>
      <c r="F267" t="inlineStr">
        <is>
          <t>VÄSTRA GÖTALANDS LÄN</t>
        </is>
      </c>
      <c r="G267" t="inlineStr">
        <is>
          <t>MELLERUD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50441-2023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45216</v>
      </c>
      <c r="E268" s="1" t="n">
        <v>46220</v>
      </c>
      <c r="F268" t="inlineStr">
        <is>
          <t>VÄSTRA GÖTALANDS LÄN</t>
        </is>
      </c>
      <c r="G268" t="inlineStr">
        <is>
          <t>MELLERUD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10401-2024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46220</v>
      </c>
      <c r="F269" t="inlineStr">
        <is>
          <t>VÄSTRA GÖTALANDS LÄN</t>
        </is>
      </c>
      <c r="G269" t="inlineStr">
        <is>
          <t>MELLERUD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25458-2026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46220</v>
      </c>
      <c r="F270" t="inlineStr">
        <is>
          <t>VÄSTRA GÖTALANDS LÄN</t>
        </is>
      </c>
      <c r="G270" t="inlineStr">
        <is>
          <t>MELLERUD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21689-2025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45783</v>
      </c>
      <c r="E271" s="1" t="n">
        <v>46220</v>
      </c>
      <c r="F271" t="inlineStr">
        <is>
          <t>VÄSTRA GÖTALANDS LÄN</t>
        </is>
      </c>
      <c r="G271" t="inlineStr">
        <is>
          <t>MELLERUD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21678-2025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45783</v>
      </c>
      <c r="E272" s="1" t="n">
        <v>46220</v>
      </c>
      <c r="F272" t="inlineStr">
        <is>
          <t>VÄSTRA GÖTALANDS LÄN</t>
        </is>
      </c>
      <c r="G272" t="inlineStr">
        <is>
          <t>MELLERUD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21698-2025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45783</v>
      </c>
      <c r="E273" s="1" t="n">
        <v>46220</v>
      </c>
      <c r="F273" t="inlineStr">
        <is>
          <t>VÄSTRA GÖTALANDS LÄN</t>
        </is>
      </c>
      <c r="G273" t="inlineStr">
        <is>
          <t>MELLERUD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13313-2024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46220</v>
      </c>
      <c r="F274" t="inlineStr">
        <is>
          <t>VÄSTRA GÖTALANDS LÄN</t>
        </is>
      </c>
      <c r="G274" t="inlineStr">
        <is>
          <t>MELLERUD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27342-2024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45473</v>
      </c>
      <c r="E275" s="1" t="n">
        <v>46220</v>
      </c>
      <c r="F275" t="inlineStr">
        <is>
          <t>VÄSTRA GÖTALANDS LÄN</t>
        </is>
      </c>
      <c r="G275" t="inlineStr">
        <is>
          <t>MELLERUD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10100-2025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46220</v>
      </c>
      <c r="F276" t="inlineStr">
        <is>
          <t>VÄSTRA GÖTALANDS LÄN</t>
        </is>
      </c>
      <c r="G276" t="inlineStr">
        <is>
          <t>MELLERUD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8667-2025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46220</v>
      </c>
      <c r="F277" t="inlineStr">
        <is>
          <t>VÄSTRA GÖTALANDS LÄN</t>
        </is>
      </c>
      <c r="G277" t="inlineStr">
        <is>
          <t>MELLERUD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46220</v>
      </c>
      <c r="F278" t="inlineStr">
        <is>
          <t>VÄSTRA GÖTALANDS LÄN</t>
        </is>
      </c>
      <c r="G278" t="inlineStr">
        <is>
          <t>MELLERUD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10358-2025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45720</v>
      </c>
      <c r="E279" s="1" t="n">
        <v>46220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60993-2022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46220</v>
      </c>
      <c r="F280" t="inlineStr">
        <is>
          <t>VÄSTRA GÖTALANDS LÄN</t>
        </is>
      </c>
      <c r="G280" t="inlineStr">
        <is>
          <t>MELLERUD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10097-2025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46220</v>
      </c>
      <c r="F281" t="inlineStr">
        <is>
          <t>VÄSTRA GÖTALANDS LÄN</t>
        </is>
      </c>
      <c r="G281" t="inlineStr">
        <is>
          <t>MELLERUD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11213-2025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46220</v>
      </c>
      <c r="F282" t="inlineStr">
        <is>
          <t>VÄSTRA GÖTALANDS LÄN</t>
        </is>
      </c>
      <c r="G282" t="inlineStr">
        <is>
          <t>MELLERUD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46220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10351-2021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44551</v>
      </c>
      <c r="E284" s="1" t="n">
        <v>46220</v>
      </c>
      <c r="F284" t="inlineStr">
        <is>
          <t>VÄSTRA GÖTALANDS LÄN</t>
        </is>
      </c>
      <c r="G284" t="inlineStr">
        <is>
          <t>MELLERUD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46220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46220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46220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2026-07-17T01:41:46Z</dcterms:created>
  <dcterms:modified xmlns:dcterms="http://purl.org/dc/terms/" xmlns:xsi="http://www.w3.org/2001/XMLSchema-instance" xsi:type="dcterms:W3CDTF">2026-07-17T01:41:47Z</dcterms:modified>
</cp:coreProperties>
</file>