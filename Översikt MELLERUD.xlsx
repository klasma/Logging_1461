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8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16664-2026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46112</v>
      </c>
      <c r="E2" s="1" t="n">
        <v>46252</v>
      </c>
      <c r="F2" t="inlineStr">
        <is>
          <t>VÄSTRA GÖTALANDS LÄN</t>
        </is>
      </c>
      <c r="G2" t="inlineStr">
        <is>
          <t>MELLERUD</t>
        </is>
      </c>
      <c r="I2" t="n">
        <v>13.2</v>
      </c>
      <c r="J2" t="n">
        <v>3</v>
      </c>
      <c r="K2" t="n">
        <v>13</v>
      </c>
      <c r="L2" t="n">
        <v>3</v>
      </c>
      <c r="M2" t="n">
        <v>0</v>
      </c>
      <c r="N2" t="n">
        <v>0</v>
      </c>
      <c r="O2" t="n">
        <v>0</v>
      </c>
      <c r="P2" t="n">
        <v>0</v>
      </c>
      <c r="Q2" t="n">
        <v>3</v>
      </c>
      <c r="R2" t="n">
        <v>0</v>
      </c>
      <c r="S2" t="n">
        <v>19</v>
      </c>
      <c r="T2" t="n">
        <v>50</v>
      </c>
      <c r="U2" t="n">
        <v>43</v>
      </c>
      <c r="V2" s="2" t="inlineStr">
        <is>
          <t>Svart askbastborre
Sårläka
Vedtrappmossa
Blek stjärnmossa
Brandticka
Fällmossa
Grov baronmossa
Grön sköldmossa
Guldlockmossa
Mindre märgborre
Platt fjädermossa
Stubbspretmossa
Thomsons trägnagare
Traslav
Trädporella
Vågbandad barkbock
Blåsippa
Spillkråka
Vitsippa</t>
        </is>
      </c>
      <c r="W2">
        <f>HYPERLINK("https://klasma.github.io/Logging_1461/artfynd/A 16664-2026 artfynd.xlsx", "A 16664-2026")</f>
        <v/>
      </c>
      <c r="X2">
        <f>HYPERLINK("https://klasma.github.io/Logging_1461/kartor/A 16664-2026 karta.png", "A 16664-2026")</f>
        <v/>
      </c>
      <c r="Y2">
        <f>HYPERLINK("https://klasma.github.io/Logging_1461/kartor_geotiff/A 16664-2026 georefererad karta.tif", "A 16664-2026")</f>
        <v/>
      </c>
      <c r="AA2">
        <f>HYPERLINK("https://klasma.github.io/Logging_1461/klagomål/A 16664-2026 FSC-klagomål.docx", "A 16664-2026")</f>
        <v/>
      </c>
      <c r="AB2">
        <f>HYPERLINK("https://klasma.github.io/Logging_1461/klagomålsmail/A 16664-2026 FSC-klagomål mail.docx", "A 16664-2026")</f>
        <v/>
      </c>
      <c r="AC2">
        <f>HYPERLINK("https://klasma.github.io/Logging_1461/tillsyn/A 16664-2026 tillsynsbegäran.docx", "A 16664-2026")</f>
        <v/>
      </c>
      <c r="AD2">
        <f>HYPERLINK("https://klasma.github.io/Logging_1461/tillsynsmail/A 16664-2026 tillsynsbegäran mail.docx", "A 16664-2026")</f>
        <v/>
      </c>
      <c r="AE2">
        <f>HYPERLINK("https://klasma.github.io/Logging_1461/fåglar/A 16664-2026 prioriterade fågelarter.docx", "A 16664-2026")</f>
        <v/>
      </c>
    </row>
    <row r="3" ht="15" customHeight="1">
      <c r="A3" t="inlineStr">
        <is>
          <t>A 26678-2026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46184</v>
      </c>
      <c r="E3" s="1" t="n">
        <v>46252</v>
      </c>
      <c r="F3" t="inlineStr">
        <is>
          <t>VÄSTRA GÖTALANDS LÄN</t>
        </is>
      </c>
      <c r="G3" t="inlineStr">
        <is>
          <t>MELLERUD</t>
        </is>
      </c>
      <c r="I3" t="n">
        <v>5.8</v>
      </c>
      <c r="J3" t="n">
        <v>2</v>
      </c>
      <c r="K3" t="n">
        <v>13</v>
      </c>
      <c r="L3" t="n">
        <v>2</v>
      </c>
      <c r="M3" t="n">
        <v>1</v>
      </c>
      <c r="N3" t="n">
        <v>0</v>
      </c>
      <c r="O3" t="n">
        <v>0</v>
      </c>
      <c r="P3" t="n">
        <v>0</v>
      </c>
      <c r="Q3" t="n">
        <v>3</v>
      </c>
      <c r="R3" t="n">
        <v>1</v>
      </c>
      <c r="S3" t="n">
        <v>17</v>
      </c>
      <c r="T3" t="n">
        <v>40</v>
      </c>
      <c r="U3" t="n">
        <v>0</v>
      </c>
      <c r="V3" s="2" t="inlineStr">
        <is>
          <t>Gränsticka
Gullpudra
Svart askbastborre
Barkticka
Björksplintborre
Bronshjon
Fällmossa
Grov fjädermossa
Grön sköldmossa
Guldlockmossa
Korallblylav
Platt fjädermossa
Stor aspticka
Stubbspretmossa
Thomsons trägnagare
Traslav
Blåsippa</t>
        </is>
      </c>
      <c r="W3">
        <f>HYPERLINK("https://klasma.github.io/Logging_1461/artfynd/A 26678-2026 artfynd.xlsx", "A 26678-2026")</f>
        <v/>
      </c>
      <c r="X3">
        <f>HYPERLINK("https://klasma.github.io/Logging_1461/kartor/A 26678-2026 karta.png", "A 26678-2026")</f>
        <v/>
      </c>
      <c r="Y3">
        <f>HYPERLINK("https://klasma.github.io/Logging_1461/kartor_geotiff/A 26678-2026 georefererad karta.tif", "A 26678-2026")</f>
        <v/>
      </c>
      <c r="AA3">
        <f>HYPERLINK("https://klasma.github.io/Logging_1461/klagomål/A 26678-2026 FSC-klagomål.docx", "A 26678-2026")</f>
        <v/>
      </c>
      <c r="AB3">
        <f>HYPERLINK("https://klasma.github.io/Logging_1461/klagomålsmail/A 26678-2026 FSC-klagomål mail.docx", "A 26678-2026")</f>
        <v/>
      </c>
      <c r="AC3">
        <f>HYPERLINK("https://klasma.github.io/Logging_1461/tillsyn/A 26678-2026 tillsynsbegäran.docx", "A 26678-2026")</f>
        <v/>
      </c>
      <c r="AD3">
        <f>HYPERLINK("https://klasma.github.io/Logging_1461/tillsynsmail/A 26678-2026 tillsynsbegäran mail.docx", "A 26678-2026")</f>
        <v/>
      </c>
    </row>
    <row r="4" ht="15" customHeight="1">
      <c r="A4" t="inlineStr">
        <is>
          <t>A 53515-2024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45614</v>
      </c>
      <c r="E4" s="1" t="n">
        <v>46252</v>
      </c>
      <c r="F4" t="inlineStr">
        <is>
          <t>VÄSTRA GÖTALANDS LÄN</t>
        </is>
      </c>
      <c r="G4" t="inlineStr">
        <is>
          <t>MELLERUD</t>
        </is>
      </c>
      <c r="I4" t="n">
        <v>3.5</v>
      </c>
      <c r="J4" t="n">
        <v>3</v>
      </c>
      <c r="K4" t="n">
        <v>9</v>
      </c>
      <c r="L4" t="n">
        <v>2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t="n">
        <v>0</v>
      </c>
      <c r="S4" t="n">
        <v>14</v>
      </c>
      <c r="T4" t="n">
        <v>34</v>
      </c>
      <c r="U4" t="n">
        <v>34</v>
      </c>
      <c r="V4" s="2" t="inlineStr">
        <is>
          <t>Svart askbastborre
Sårläka
Blek stjärnmossa
Brandticka
Fällmossa
Grov baronmossa
Grön sköldmossa
Guldlockmossa
Platt fjädermossa
Stubbspretmossa
Trädporella
Blåsippa
Spillkråka
Vitsippa</t>
        </is>
      </c>
      <c r="W4">
        <f>HYPERLINK("https://klasma.github.io/Logging_1461/artfynd/A 53515-2024 artfynd.xlsx", "A 53515-2024")</f>
        <v/>
      </c>
      <c r="X4">
        <f>HYPERLINK("https://klasma.github.io/Logging_1461/kartor/A 53515-2024 karta.png", "A 53515-2024")</f>
        <v/>
      </c>
      <c r="Y4">
        <f>HYPERLINK("https://klasma.github.io/Logging_1461/kartor_geotiff/A 53515-2024 georefererad karta.tif", "A 53515-2024")</f>
        <v/>
      </c>
      <c r="AA4">
        <f>HYPERLINK("https://klasma.github.io/Logging_1461/klagomål/A 53515-2024 FSC-klagomål.docx", "A 53515-2024")</f>
        <v/>
      </c>
      <c r="AB4">
        <f>HYPERLINK("https://klasma.github.io/Logging_1461/klagomålsmail/A 53515-2024 FSC-klagomål mail.docx", "A 53515-2024")</f>
        <v/>
      </c>
      <c r="AC4">
        <f>HYPERLINK("https://klasma.github.io/Logging_1461/tillsyn/A 53515-2024 tillsynsbegäran.docx", "A 53515-2024")</f>
        <v/>
      </c>
      <c r="AD4">
        <f>HYPERLINK("https://klasma.github.io/Logging_1461/tillsynsmail/A 53515-2024 tillsynsbegäran mail.docx", "A 53515-2024")</f>
        <v/>
      </c>
      <c r="AE4">
        <f>HYPERLINK("https://klasma.github.io/Logging_1461/fåglar/A 53515-2024 prioriterade fågelarter.docx", "A 53515-2024")</f>
        <v/>
      </c>
    </row>
    <row r="5" ht="15" customHeight="1">
      <c r="A5" t="inlineStr">
        <is>
          <t>A 44523-2022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44840</v>
      </c>
      <c r="E5" s="1" t="n">
        <v>46252</v>
      </c>
      <c r="F5" t="inlineStr">
        <is>
          <t>VÄSTRA GÖTALANDS LÄN</t>
        </is>
      </c>
      <c r="G5" t="inlineStr">
        <is>
          <t>MELLERUD</t>
        </is>
      </c>
      <c r="I5" t="n">
        <v>1.5</v>
      </c>
      <c r="J5" t="n">
        <v>3</v>
      </c>
      <c r="K5" t="n">
        <v>2</v>
      </c>
      <c r="L5" t="n">
        <v>3</v>
      </c>
      <c r="M5" t="n">
        <v>3</v>
      </c>
      <c r="N5" t="n">
        <v>0</v>
      </c>
      <c r="O5" t="n">
        <v>0</v>
      </c>
      <c r="P5" t="n">
        <v>0</v>
      </c>
      <c r="Q5" t="n">
        <v>6</v>
      </c>
      <c r="R5" t="n">
        <v>3</v>
      </c>
      <c r="S5" t="n">
        <v>10</v>
      </c>
      <c r="T5" t="n">
        <v>15</v>
      </c>
      <c r="U5" t="n">
        <v>4</v>
      </c>
      <c r="V5" s="2" t="inlineStr">
        <is>
          <t>Aspfjädermossa
Skirmossa
Stor skogsbäckmossa
Blå säckmossa
Dunmossa
Sårläka
Skogshakmossa
Trind spretmossa
Blåsippa
Grönvit nattviol</t>
        </is>
      </c>
      <c r="W5">
        <f>HYPERLINK("https://klasma.github.io/Logging_1461/artfynd/A 44523-2022 artfynd.xlsx", "A 44523-2022")</f>
        <v/>
      </c>
      <c r="X5">
        <f>HYPERLINK("https://klasma.github.io/Logging_1461/kartor/A 44523-2022 karta.png", "A 44523-2022")</f>
        <v/>
      </c>
      <c r="Y5">
        <f>HYPERLINK("https://klasma.github.io/Logging_1461/kartor_geotiff/A 44523-2022 georefererad karta.tif", "A 44523-2022")</f>
        <v/>
      </c>
      <c r="AA5">
        <f>HYPERLINK("https://klasma.github.io/Logging_1461/klagomål/A 44523-2022 FSC-klagomål.docx", "A 44523-2022")</f>
        <v/>
      </c>
      <c r="AB5">
        <f>HYPERLINK("https://klasma.github.io/Logging_1461/klagomålsmail/A 44523-2022 FSC-klagomål mail.docx", "A 44523-2022")</f>
        <v/>
      </c>
      <c r="AC5">
        <f>HYPERLINK("https://klasma.github.io/Logging_1461/tillsyn/A 44523-2022 tillsynsbegäran.docx", "A 44523-2022")</f>
        <v/>
      </c>
      <c r="AD5">
        <f>HYPERLINK("https://klasma.github.io/Logging_1461/tillsynsmail/A 44523-2022 tillsynsbegäran mail.docx", "A 44523-2022")</f>
        <v/>
      </c>
    </row>
    <row r="6" ht="15" customHeight="1">
      <c r="A6" t="inlineStr">
        <is>
          <t>A 53463-2024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45614</v>
      </c>
      <c r="E6" s="1" t="n">
        <v>46252</v>
      </c>
      <c r="F6" t="inlineStr">
        <is>
          <t>VÄSTRA GÖTALANDS LÄN</t>
        </is>
      </c>
      <c r="G6" t="inlineStr">
        <is>
          <t>MELLERUD</t>
        </is>
      </c>
      <c r="I6" t="n">
        <v>1.8</v>
      </c>
      <c r="J6" t="n">
        <v>1</v>
      </c>
      <c r="K6" t="n">
        <v>5</v>
      </c>
      <c r="L6" t="n">
        <v>3</v>
      </c>
      <c r="M6" t="n">
        <v>2</v>
      </c>
      <c r="N6" t="n">
        <v>0</v>
      </c>
      <c r="O6" t="n">
        <v>0</v>
      </c>
      <c r="P6" t="n">
        <v>0</v>
      </c>
      <c r="Q6" t="n">
        <v>5</v>
      </c>
      <c r="R6" t="n">
        <v>2</v>
      </c>
      <c r="S6" t="n">
        <v>10</v>
      </c>
      <c r="T6" t="n">
        <v>19</v>
      </c>
      <c r="U6" t="n">
        <v>0</v>
      </c>
      <c r="V6" s="2" t="inlineStr">
        <is>
          <t>Grålila vaxing
Uddbräken
Lädervaxing
Scharlakansvaxing
Sårläka
Blodvaxing
Honungsvaxing
Igelkottsröksvamp
Luktvaxing
Ängsvaxing agg.</t>
        </is>
      </c>
      <c r="W6">
        <f>HYPERLINK("https://klasma.github.io/Logging_1461/artfynd/A 53463-2024 artfynd.xlsx", "A 53463-2024")</f>
        <v/>
      </c>
      <c r="X6">
        <f>HYPERLINK("https://klasma.github.io/Logging_1461/kartor/A 53463-2024 karta.png", "A 53463-2024")</f>
        <v/>
      </c>
      <c r="Y6">
        <f>HYPERLINK("https://klasma.github.io/Logging_1461/kartor_geotiff/A 53463-2024 georefererad karta.tif", "A 53463-2024")</f>
        <v/>
      </c>
      <c r="AA6">
        <f>HYPERLINK("https://klasma.github.io/Logging_1461/klagomål/A 53463-2024 FSC-klagomål.docx", "A 53463-2024")</f>
        <v/>
      </c>
      <c r="AB6">
        <f>HYPERLINK("https://klasma.github.io/Logging_1461/klagomålsmail/A 53463-2024 FSC-klagomål mail.docx", "A 53463-2024")</f>
        <v/>
      </c>
      <c r="AC6">
        <f>HYPERLINK("https://klasma.github.io/Logging_1461/tillsyn/A 53463-2024 tillsynsbegäran.docx", "A 53463-2024")</f>
        <v/>
      </c>
      <c r="AD6">
        <f>HYPERLINK("https://klasma.github.io/Logging_1461/tillsynsmail/A 53463-2024 tillsynsbegäran mail.docx", "A 53463-2024")</f>
        <v/>
      </c>
    </row>
    <row r="7" ht="15" customHeight="1">
      <c r="A7" t="inlineStr">
        <is>
          <t>A 13115-2025</t>
        </is>
      </c>
      <c r="B7" t="inlineStr">
        <is>
          <t>avverkningsanmälan</t>
        </is>
      </c>
      <c r="C7" t="inlineStr">
        <is>
          <t>Avverkning för att bevara och utveckla /försöksver</t>
        </is>
      </c>
      <c r="D7" s="1" t="n">
        <v>45734</v>
      </c>
      <c r="E7" s="1" t="n">
        <v>46252</v>
      </c>
      <c r="F7" t="inlineStr">
        <is>
          <t>VÄSTRA GÖTALANDS LÄN</t>
        </is>
      </c>
      <c r="G7" t="inlineStr">
        <is>
          <t>MELLERUD</t>
        </is>
      </c>
      <c r="I7" t="n">
        <v>1.2</v>
      </c>
      <c r="J7" t="n">
        <v>2</v>
      </c>
      <c r="K7" t="n">
        <v>3</v>
      </c>
      <c r="L7" t="n">
        <v>4</v>
      </c>
      <c r="M7" t="n">
        <v>1</v>
      </c>
      <c r="N7" t="n">
        <v>0</v>
      </c>
      <c r="O7" t="n">
        <v>0</v>
      </c>
      <c r="P7" t="n">
        <v>0</v>
      </c>
      <c r="Q7" t="n">
        <v>5</v>
      </c>
      <c r="R7" t="n">
        <v>1</v>
      </c>
      <c r="S7" t="n">
        <v>9</v>
      </c>
      <c r="T7" t="n">
        <v>26</v>
      </c>
      <c r="U7" t="n">
        <v>15</v>
      </c>
      <c r="V7" s="2" t="inlineStr">
        <is>
          <t>Skirmossa
Blå säckmossa
Dofttaggsvamp
Dunmossa
Svart askbastborre
Kambräken
Korallblylav
Stor revmossa
Blåsippa</t>
        </is>
      </c>
      <c r="W7">
        <f>HYPERLINK("https://klasma.github.io/Logging_1461/artfynd/A 13115-2025 artfynd.xlsx", "A 13115-2025")</f>
        <v/>
      </c>
      <c r="X7">
        <f>HYPERLINK("https://klasma.github.io/Logging_1461/kartor/A 13115-2025 karta.png", "A 13115-2025")</f>
        <v/>
      </c>
      <c r="Y7">
        <f>HYPERLINK("https://klasma.github.io/Logging_1461/kartor_geotiff/A 13115-2025 georefererad karta.tif", "A 13115-2025")</f>
        <v/>
      </c>
      <c r="AA7">
        <f>HYPERLINK("https://klasma.github.io/Logging_1461/klagomål/A 13115-2025 FSC-klagomål.docx", "A 13115-2025")</f>
        <v/>
      </c>
      <c r="AB7">
        <f>HYPERLINK("https://klasma.github.io/Logging_1461/klagomålsmail/A 13115-2025 FSC-klagomål mail.docx", "A 13115-2025")</f>
        <v/>
      </c>
      <c r="AC7">
        <f>HYPERLINK("https://klasma.github.io/Logging_1461/tillsyn/A 13115-2025 tillsynsbegäran.docx", "A 13115-2025")</f>
        <v/>
      </c>
      <c r="AD7">
        <f>HYPERLINK("https://klasma.github.io/Logging_1461/tillsynsmail/A 13115-2025 tillsynsbegäran mail.docx", "A 13115-2025")</f>
        <v/>
      </c>
    </row>
    <row r="8" ht="15" customHeight="1">
      <c r="A8" t="inlineStr">
        <is>
          <t>A 1491-2025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45670</v>
      </c>
      <c r="E8" s="1" t="n">
        <v>46252</v>
      </c>
      <c r="F8" t="inlineStr">
        <is>
          <t>VÄSTRA GÖTALANDS LÄN</t>
        </is>
      </c>
      <c r="G8" t="inlineStr">
        <is>
          <t>MELLERUD</t>
        </is>
      </c>
      <c r="I8" t="n">
        <v>3.3</v>
      </c>
      <c r="J8" t="n">
        <v>4</v>
      </c>
      <c r="K8" t="n">
        <v>4</v>
      </c>
      <c r="L8" t="n">
        <v>2</v>
      </c>
      <c r="M8" t="n">
        <v>1</v>
      </c>
      <c r="N8" t="n">
        <v>0</v>
      </c>
      <c r="O8" t="n">
        <v>0</v>
      </c>
      <c r="P8" t="n">
        <v>0</v>
      </c>
      <c r="Q8" t="n">
        <v>3</v>
      </c>
      <c r="R8" t="n">
        <v>1</v>
      </c>
      <c r="S8" t="n">
        <v>8</v>
      </c>
      <c r="T8" t="n">
        <v>15</v>
      </c>
      <c r="U8" t="n">
        <v>2</v>
      </c>
      <c r="V8" s="2" t="inlineStr">
        <is>
          <t>Uddbräken
Jungfrulin
Sårläka
Nästrot
Skogsknipprot
Svart trolldruva
Taggbräken
Blåsippa</t>
        </is>
      </c>
      <c r="W8">
        <f>HYPERLINK("https://klasma.github.io/Logging_1461/artfynd/A 1491-2025 artfynd.xlsx", "A 1491-2025")</f>
        <v/>
      </c>
      <c r="X8">
        <f>HYPERLINK("https://klasma.github.io/Logging_1461/kartor/A 1491-2025 karta.png", "A 1491-2025")</f>
        <v/>
      </c>
      <c r="Y8">
        <f>HYPERLINK("https://klasma.github.io/Logging_1461/kartor_geotiff/A 1491-2025 georefererad karta.tif", "A 1491-2025")</f>
        <v/>
      </c>
      <c r="AA8">
        <f>HYPERLINK("https://klasma.github.io/Logging_1461/klagomål/A 1491-2025 FSC-klagomål.docx", "A 1491-2025")</f>
        <v/>
      </c>
      <c r="AB8">
        <f>HYPERLINK("https://klasma.github.io/Logging_1461/klagomålsmail/A 1491-2025 FSC-klagomål mail.docx", "A 1491-2025")</f>
        <v/>
      </c>
      <c r="AC8">
        <f>HYPERLINK("https://klasma.github.io/Logging_1461/tillsyn/A 1491-2025 tillsynsbegäran.docx", "A 1491-2025")</f>
        <v/>
      </c>
      <c r="AD8">
        <f>HYPERLINK("https://klasma.github.io/Logging_1461/tillsynsmail/A 1491-2025 tillsynsbegäran mail.docx", "A 1491-2025")</f>
        <v/>
      </c>
    </row>
    <row r="9" ht="15" customHeight="1">
      <c r="A9" t="inlineStr">
        <is>
          <t>A 63859-2025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46020</v>
      </c>
      <c r="E9" s="1" t="n">
        <v>46252</v>
      </c>
      <c r="F9" t="inlineStr">
        <is>
          <t>VÄSTRA GÖTALANDS LÄN</t>
        </is>
      </c>
      <c r="G9" t="inlineStr">
        <is>
          <t>MELLERUD</t>
        </is>
      </c>
      <c r="I9" t="n">
        <v>3.9</v>
      </c>
      <c r="J9" t="n">
        <v>1</v>
      </c>
      <c r="K9" t="n">
        <v>5</v>
      </c>
      <c r="L9" t="n">
        <v>1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t="n">
        <v>0</v>
      </c>
      <c r="S9" t="n">
        <v>7</v>
      </c>
      <c r="T9" t="n">
        <v>12</v>
      </c>
      <c r="U9" t="n">
        <v>12</v>
      </c>
      <c r="V9" s="2" t="inlineStr">
        <is>
          <t>Svart askbastborre
Björksplintborre
Fällmossa
Platt fjädermossa
Slanklav
Traslav
Blåsippa</t>
        </is>
      </c>
      <c r="W9">
        <f>HYPERLINK("https://klasma.github.io/Logging_1461/artfynd/A 63859-2025 artfynd.xlsx", "A 63859-2025")</f>
        <v/>
      </c>
      <c r="X9">
        <f>HYPERLINK("https://klasma.github.io/Logging_1461/kartor/A 63859-2025 karta.png", "A 63859-2025")</f>
        <v/>
      </c>
      <c r="Y9">
        <f>HYPERLINK("https://klasma.github.io/Logging_1461/kartor_geotiff/A 63859-2025 georefererad karta.tif", "A 63859-2025")</f>
        <v/>
      </c>
      <c r="AA9">
        <f>HYPERLINK("https://klasma.github.io/Logging_1461/klagomål/A 63859-2025 FSC-klagomål.docx", "A 63859-2025")</f>
        <v/>
      </c>
      <c r="AB9">
        <f>HYPERLINK("https://klasma.github.io/Logging_1461/klagomålsmail/A 63859-2025 FSC-klagomål mail.docx", "A 63859-2025")</f>
        <v/>
      </c>
      <c r="AC9">
        <f>HYPERLINK("https://klasma.github.io/Logging_1461/tillsyn/A 63859-2025 tillsynsbegäran.docx", "A 63859-2025")</f>
        <v/>
      </c>
      <c r="AD9">
        <f>HYPERLINK("https://klasma.github.io/Logging_1461/tillsynsmail/A 63859-2025 tillsynsbegäran mail.docx", "A 63859-2025")</f>
        <v/>
      </c>
    </row>
    <row r="10" ht="15" customHeight="1">
      <c r="A10" t="inlineStr">
        <is>
          <t>A 59364-2023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45253</v>
      </c>
      <c r="E10" s="1" t="n">
        <v>46252</v>
      </c>
      <c r="F10" t="inlineStr">
        <is>
          <t>VÄSTRA GÖTALANDS LÄN</t>
        </is>
      </c>
      <c r="G10" t="inlineStr">
        <is>
          <t>MELLERUD</t>
        </is>
      </c>
      <c r="I10" t="n">
        <v>0.9</v>
      </c>
      <c r="J10" t="n">
        <v>0</v>
      </c>
      <c r="K10" t="n">
        <v>3</v>
      </c>
      <c r="L10" t="n">
        <v>2</v>
      </c>
      <c r="M10" t="n">
        <v>1</v>
      </c>
      <c r="N10" t="n">
        <v>0</v>
      </c>
      <c r="O10" t="n">
        <v>0</v>
      </c>
      <c r="P10" t="n">
        <v>0</v>
      </c>
      <c r="Q10" t="n">
        <v>3</v>
      </c>
      <c r="R10" t="n">
        <v>1</v>
      </c>
      <c r="S10" t="n">
        <v>6</v>
      </c>
      <c r="T10" t="n">
        <v>7</v>
      </c>
      <c r="U10" t="n">
        <v>0</v>
      </c>
      <c r="V10" s="2" t="inlineStr">
        <is>
          <t>Grangråticka
Fjällig taggsvamp s.str.
Kungsspindling
Kamjordstjärna
Svavelriska
Zontaggsvamp</t>
        </is>
      </c>
      <c r="W10">
        <f>HYPERLINK("https://klasma.github.io/Logging_1461/artfynd/A 59364-2023 artfynd.xlsx", "A 59364-2023")</f>
        <v/>
      </c>
      <c r="X10">
        <f>HYPERLINK("https://klasma.github.io/Logging_1461/kartor/A 59364-2023 karta.png", "A 59364-2023")</f>
        <v/>
      </c>
      <c r="Y10">
        <f>HYPERLINK("https://klasma.github.io/Logging_1461/kartor_geotiff/A 59364-2023 georefererad karta.tif", "A 59364-2023")</f>
        <v/>
      </c>
      <c r="AA10">
        <f>HYPERLINK("https://klasma.github.io/Logging_1461/klagomål/A 59364-2023 FSC-klagomål.docx", "A 59364-2023")</f>
        <v/>
      </c>
      <c r="AB10">
        <f>HYPERLINK("https://klasma.github.io/Logging_1461/klagomålsmail/A 59364-2023 FSC-klagomål mail.docx", "A 59364-2023")</f>
        <v/>
      </c>
      <c r="AC10">
        <f>HYPERLINK("https://klasma.github.io/Logging_1461/tillsyn/A 59364-2023 tillsynsbegäran.docx", "A 59364-2023")</f>
        <v/>
      </c>
      <c r="AD10">
        <f>HYPERLINK("https://klasma.github.io/Logging_1461/tillsynsmail/A 59364-2023 tillsynsbegäran mail.docx", "A 59364-2023")</f>
        <v/>
      </c>
    </row>
    <row r="11" ht="15" customHeight="1">
      <c r="A11" t="inlineStr">
        <is>
          <t>A 13523-2023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45006</v>
      </c>
      <c r="E11" s="1" t="n">
        <v>46252</v>
      </c>
      <c r="F11" t="inlineStr">
        <is>
          <t>VÄSTRA GÖTALANDS LÄN</t>
        </is>
      </c>
      <c r="G11" t="inlineStr">
        <is>
          <t>MELLERUD</t>
        </is>
      </c>
      <c r="I11" t="n">
        <v>0.8</v>
      </c>
      <c r="J11" t="n">
        <v>0</v>
      </c>
      <c r="K11" t="n">
        <v>3</v>
      </c>
      <c r="L11" t="n">
        <v>1</v>
      </c>
      <c r="M11" t="n">
        <v>1</v>
      </c>
      <c r="N11" t="n">
        <v>0</v>
      </c>
      <c r="O11" t="n">
        <v>0</v>
      </c>
      <c r="P11" t="n">
        <v>0</v>
      </c>
      <c r="Q11" t="n">
        <v>2</v>
      </c>
      <c r="R11" t="n">
        <v>1</v>
      </c>
      <c r="S11" t="n">
        <v>5</v>
      </c>
      <c r="T11" t="n">
        <v>6</v>
      </c>
      <c r="U11" t="n">
        <v>3</v>
      </c>
      <c r="V11" s="2" t="inlineStr">
        <is>
          <t>Grangråticka
Fjällig taggsvamp s.str.
Kamjordstjärna
Svavelriska
Zontaggsvamp</t>
        </is>
      </c>
      <c r="W11">
        <f>HYPERLINK("https://klasma.github.io/Logging_1461/artfynd/A 13523-2023 artfynd.xlsx", "A 13523-2023")</f>
        <v/>
      </c>
      <c r="X11">
        <f>HYPERLINK("https://klasma.github.io/Logging_1461/kartor/A 13523-2023 karta.png", "A 13523-2023")</f>
        <v/>
      </c>
      <c r="Y11">
        <f>HYPERLINK("https://klasma.github.io/Logging_1461/kartor_geotiff/A 13523-2023 georefererad karta.tif", "A 13523-2023")</f>
        <v/>
      </c>
      <c r="AA11">
        <f>HYPERLINK("https://klasma.github.io/Logging_1461/klagomål/A 13523-2023 FSC-klagomål.docx", "A 13523-2023")</f>
        <v/>
      </c>
      <c r="AB11">
        <f>HYPERLINK("https://klasma.github.io/Logging_1461/klagomålsmail/A 13523-2023 FSC-klagomål mail.docx", "A 13523-2023")</f>
        <v/>
      </c>
      <c r="AC11">
        <f>HYPERLINK("https://klasma.github.io/Logging_1461/tillsyn/A 13523-2023 tillsynsbegäran.docx", "A 13523-2023")</f>
        <v/>
      </c>
      <c r="AD11">
        <f>HYPERLINK("https://klasma.github.io/Logging_1461/tillsynsmail/A 13523-2023 tillsynsbegäran mail.docx", "A 13523-2023")</f>
        <v/>
      </c>
    </row>
    <row r="12" ht="15" customHeight="1">
      <c r="A12" t="inlineStr">
        <is>
          <t>A 5841-2023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44963</v>
      </c>
      <c r="E12" s="1" t="n">
        <v>46252</v>
      </c>
      <c r="F12" t="inlineStr">
        <is>
          <t>VÄSTRA GÖTALANDS LÄN</t>
        </is>
      </c>
      <c r="G12" t="inlineStr">
        <is>
          <t>MELLERUD</t>
        </is>
      </c>
      <c r="I12" t="n">
        <v>0.4</v>
      </c>
      <c r="J12" t="n">
        <v>1</v>
      </c>
      <c r="K12" t="n">
        <v>0</v>
      </c>
      <c r="L12" t="n">
        <v>4</v>
      </c>
      <c r="M12" t="n">
        <v>0</v>
      </c>
      <c r="N12" t="n">
        <v>0</v>
      </c>
      <c r="O12" t="n">
        <v>0</v>
      </c>
      <c r="P12" t="n">
        <v>0</v>
      </c>
      <c r="Q12" t="n">
        <v>4</v>
      </c>
      <c r="R12" t="n">
        <v>0</v>
      </c>
      <c r="S12" t="n">
        <v>5</v>
      </c>
      <c r="T12" t="n">
        <v>5</v>
      </c>
      <c r="U12" t="n">
        <v>5</v>
      </c>
      <c r="V12" s="2" t="inlineStr">
        <is>
          <t>Jungfrulin
Svinrot
Sårläka
Vippärt
Blåsippa</t>
        </is>
      </c>
      <c r="W12">
        <f>HYPERLINK("https://klasma.github.io/Logging_1461/artfynd/A 5841-2023 artfynd.xlsx", "A 5841-2023")</f>
        <v/>
      </c>
      <c r="X12">
        <f>HYPERLINK("https://klasma.github.io/Logging_1461/kartor/A 5841-2023 karta.png", "A 5841-2023")</f>
        <v/>
      </c>
      <c r="Y12">
        <f>HYPERLINK("https://klasma.github.io/Logging_1461/kartor_geotiff/A 5841-2023 georefererad karta.tif", "A 5841-2023")</f>
        <v/>
      </c>
      <c r="AA12">
        <f>HYPERLINK("https://klasma.github.io/Logging_1461/klagomål/A 5841-2023 FSC-klagomål.docx", "A 5841-2023")</f>
        <v/>
      </c>
      <c r="AB12">
        <f>HYPERLINK("https://klasma.github.io/Logging_1461/klagomålsmail/A 5841-2023 FSC-klagomål mail.docx", "A 5841-2023")</f>
        <v/>
      </c>
      <c r="AC12">
        <f>HYPERLINK("https://klasma.github.io/Logging_1461/tillsyn/A 5841-2023 tillsynsbegäran.docx", "A 5841-2023")</f>
        <v/>
      </c>
      <c r="AD12">
        <f>HYPERLINK("https://klasma.github.io/Logging_1461/tillsynsmail/A 5841-2023 tillsynsbegäran mail.docx", "A 5841-2023")</f>
        <v/>
      </c>
    </row>
    <row r="13" ht="15" customHeight="1">
      <c r="A13" t="inlineStr">
        <is>
          <t>A 28216-2026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46196</v>
      </c>
      <c r="E13" s="1" t="n">
        <v>46252</v>
      </c>
      <c r="F13" t="inlineStr">
        <is>
          <t>VÄSTRA GÖTALANDS LÄN</t>
        </is>
      </c>
      <c r="G13" t="inlineStr">
        <is>
          <t>MELLERUD</t>
        </is>
      </c>
      <c r="H13" t="inlineStr">
        <is>
          <t>Kommuner</t>
        </is>
      </c>
      <c r="I13" t="n">
        <v>2.5</v>
      </c>
      <c r="J13" t="n">
        <v>1</v>
      </c>
      <c r="K13" t="n">
        <v>1</v>
      </c>
      <c r="L13" t="n">
        <v>0</v>
      </c>
      <c r="M13" t="n">
        <v>1</v>
      </c>
      <c r="N13" t="n">
        <v>1</v>
      </c>
      <c r="O13" t="n">
        <v>0</v>
      </c>
      <c r="P13" t="n">
        <v>0</v>
      </c>
      <c r="Q13" t="n">
        <v>2</v>
      </c>
      <c r="R13" t="n">
        <v>2</v>
      </c>
      <c r="S13" t="n">
        <v>4</v>
      </c>
      <c r="T13" t="n">
        <v>4</v>
      </c>
      <c r="U13" t="n">
        <v>0</v>
      </c>
      <c r="V13" s="2" t="inlineStr">
        <is>
          <t>Skogsalm
Gulvit blekspik
Guldlockmossa
Gröngöling</t>
        </is>
      </c>
      <c r="W13">
        <f>HYPERLINK("https://klasma.github.io/Logging_1461/artfynd/A 28216-2026 artfynd.xlsx", "A 28216-2026")</f>
        <v/>
      </c>
      <c r="X13">
        <f>HYPERLINK("https://klasma.github.io/Logging_1461/kartor/A 28216-2026 karta.png", "A 28216-2026")</f>
        <v/>
      </c>
      <c r="Y13">
        <f>HYPERLINK("https://klasma.github.io/Logging_1461/kartor_geotiff/A 28216-2026 georefererad karta.tif", "A 28216-2026")</f>
        <v/>
      </c>
      <c r="AA13">
        <f>HYPERLINK("https://klasma.github.io/Logging_1461/klagomål/A 28216-2026 FSC-klagomål.docx", "A 28216-2026")</f>
        <v/>
      </c>
      <c r="AB13">
        <f>HYPERLINK("https://klasma.github.io/Logging_1461/klagomålsmail/A 28216-2026 FSC-klagomål mail.docx", "A 28216-2026")</f>
        <v/>
      </c>
      <c r="AC13">
        <f>HYPERLINK("https://klasma.github.io/Logging_1461/tillsyn/A 28216-2026 tillsynsbegäran.docx", "A 28216-2026")</f>
        <v/>
      </c>
      <c r="AD13">
        <f>HYPERLINK("https://klasma.github.io/Logging_1461/tillsynsmail/A 28216-2026 tillsynsbegäran mail.docx", "A 28216-2026")</f>
        <v/>
      </c>
    </row>
    <row r="14" ht="15" customHeight="1">
      <c r="A14" t="inlineStr">
        <is>
          <t>A 25764-2025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45804</v>
      </c>
      <c r="E14" s="1" t="n">
        <v>46252</v>
      </c>
      <c r="F14" t="inlineStr">
        <is>
          <t>VÄSTRA GÖTALANDS LÄN</t>
        </is>
      </c>
      <c r="G14" t="inlineStr">
        <is>
          <t>MELLERUD</t>
        </is>
      </c>
      <c r="I14" t="n">
        <v>2.5</v>
      </c>
      <c r="J14" t="n">
        <v>0</v>
      </c>
      <c r="K14" t="n">
        <v>3</v>
      </c>
      <c r="L14" t="n">
        <v>0</v>
      </c>
      <c r="M14" t="n">
        <v>0</v>
      </c>
      <c r="N14" t="n">
        <v>1</v>
      </c>
      <c r="O14" t="n">
        <v>0</v>
      </c>
      <c r="P14" t="n">
        <v>0</v>
      </c>
      <c r="Q14" t="n">
        <v>1</v>
      </c>
      <c r="R14" t="n">
        <v>1</v>
      </c>
      <c r="S14" t="n">
        <v>4</v>
      </c>
      <c r="T14" t="n">
        <v>5</v>
      </c>
      <c r="U14" t="n">
        <v>0</v>
      </c>
      <c r="V14" s="2" t="inlineStr">
        <is>
          <t>Ask
Guldlockmossa
Lönnlav
Rostfläck</t>
        </is>
      </c>
      <c r="W14">
        <f>HYPERLINK("https://klasma.github.io/Logging_1461/artfynd/A 25764-2025 artfynd.xlsx", "A 25764-2025")</f>
        <v/>
      </c>
      <c r="X14">
        <f>HYPERLINK("https://klasma.github.io/Logging_1461/kartor/A 25764-2025 karta.png", "A 25764-2025")</f>
        <v/>
      </c>
      <c r="Y14">
        <f>HYPERLINK("https://klasma.github.io/Logging_1461/kartor_geotiff/A 25764-2025 georefererad karta.tif", "A 25764-2025")</f>
        <v/>
      </c>
      <c r="AA14">
        <f>HYPERLINK("https://klasma.github.io/Logging_1461/klagomål/A 25764-2025 FSC-klagomål.docx", "A 25764-2025")</f>
        <v/>
      </c>
      <c r="AB14">
        <f>HYPERLINK("https://klasma.github.io/Logging_1461/klagomålsmail/A 25764-2025 FSC-klagomål mail.docx", "A 25764-2025")</f>
        <v/>
      </c>
      <c r="AC14">
        <f>HYPERLINK("https://klasma.github.io/Logging_1461/tillsyn/A 25764-2025 tillsynsbegäran.docx", "A 25764-2025")</f>
        <v/>
      </c>
      <c r="AD14">
        <f>HYPERLINK("https://klasma.github.io/Logging_1461/tillsynsmail/A 25764-2025 tillsynsbegäran mail.docx", "A 25764-2025")</f>
        <v/>
      </c>
    </row>
    <row r="15" ht="15" customHeight="1">
      <c r="A15" t="inlineStr">
        <is>
          <t>A 63857-2025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46020</v>
      </c>
      <c r="E15" s="1" t="n">
        <v>46252</v>
      </c>
      <c r="F15" t="inlineStr">
        <is>
          <t>VÄSTRA GÖTALANDS LÄN</t>
        </is>
      </c>
      <c r="G15" t="inlineStr">
        <is>
          <t>MELLERUD</t>
        </is>
      </c>
      <c r="I15" t="n">
        <v>1.3</v>
      </c>
      <c r="J15" t="n">
        <v>1</v>
      </c>
      <c r="K15" t="n">
        <v>2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3</v>
      </c>
      <c r="T15" t="n">
        <v>3</v>
      </c>
      <c r="U15" t="n">
        <v>3</v>
      </c>
      <c r="V15" s="2" t="inlineStr">
        <is>
          <t>Björksplintborre
Trådticka
Blåsippa</t>
        </is>
      </c>
      <c r="W15">
        <f>HYPERLINK("https://klasma.github.io/Logging_1461/artfynd/A 63857-2025 artfynd.xlsx", "A 63857-2025")</f>
        <v/>
      </c>
      <c r="X15">
        <f>HYPERLINK("https://klasma.github.io/Logging_1461/kartor/A 63857-2025 karta.png", "A 63857-2025")</f>
        <v/>
      </c>
      <c r="Y15">
        <f>HYPERLINK("https://klasma.github.io/Logging_1461/kartor_geotiff/A 63857-2025 georefererad karta.tif", "A 63857-2025")</f>
        <v/>
      </c>
      <c r="AA15">
        <f>HYPERLINK("https://klasma.github.io/Logging_1461/klagomål/A 63857-2025 FSC-klagomål.docx", "A 63857-2025")</f>
        <v/>
      </c>
      <c r="AB15">
        <f>HYPERLINK("https://klasma.github.io/Logging_1461/klagomålsmail/A 63857-2025 FSC-klagomål mail.docx", "A 63857-2025")</f>
        <v/>
      </c>
      <c r="AC15">
        <f>HYPERLINK("https://klasma.github.io/Logging_1461/tillsyn/A 63857-2025 tillsynsbegäran.docx", "A 63857-2025")</f>
        <v/>
      </c>
      <c r="AD15">
        <f>HYPERLINK("https://klasma.github.io/Logging_1461/tillsynsmail/A 63857-2025 tillsynsbegäran mail.docx", "A 63857-2025")</f>
        <v/>
      </c>
    </row>
    <row r="16" ht="15" customHeight="1">
      <c r="A16" t="inlineStr">
        <is>
          <t>S 1087-2024</t>
        </is>
      </c>
      <c r="B16" t="inlineStr">
        <is>
          <t>samrådsanmälan</t>
        </is>
      </c>
      <c r="C16" t="inlineStr">
        <is>
          <t>Askåterföring</t>
        </is>
      </c>
      <c r="D16" s="1" t="n">
        <v>45390</v>
      </c>
      <c r="E16" s="1" t="n">
        <v>46252</v>
      </c>
      <c r="F16" t="inlineStr">
        <is>
          <t>VÄSTRA GÖTALANDS LÄN</t>
        </is>
      </c>
      <c r="G16" t="inlineStr">
        <is>
          <t>MELLERUD</t>
        </is>
      </c>
      <c r="H16" t="inlineStr">
        <is>
          <t>Övriga Aktiebolag</t>
        </is>
      </c>
      <c r="I16" t="n">
        <v>72.90000000000001</v>
      </c>
      <c r="J16" t="n">
        <v>1</v>
      </c>
      <c r="K16" t="n">
        <v>2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3</v>
      </c>
      <c r="T16" t="n">
        <v>3</v>
      </c>
      <c r="U16" t="n">
        <v>0</v>
      </c>
      <c r="V16" s="2" t="inlineStr">
        <is>
          <t>Mörk husmossa
Strutbräken
Buskskvätta</t>
        </is>
      </c>
      <c r="W16">
        <f>HYPERLINK("https://klasma.github.io/Logging_1461/artfynd/S 1087-2024 artfynd.xlsx", "S 1087-2024")</f>
        <v/>
      </c>
      <c r="X16">
        <f>HYPERLINK("https://klasma.github.io/Logging_1461/kartor/S 1087-2024 karta.png", "S 1087-2024")</f>
        <v/>
      </c>
      <c r="Y16">
        <f>HYPERLINK("https://klasma.github.io/Logging_1461/kartor_geotiff/S 1087-2024 georefererad karta.tif", "S 1087-2024")</f>
        <v/>
      </c>
      <c r="AA16">
        <f>HYPERLINK("https://klasma.github.io/Logging_1461/klagomål/S 1087-2024 FSC-klagomål.docx", "S 1087-2024")</f>
        <v/>
      </c>
      <c r="AB16">
        <f>HYPERLINK("https://klasma.github.io/Logging_1461/klagomålsmail/S 1087-2024 FSC-klagomål mail.docx", "S 1087-2024")</f>
        <v/>
      </c>
      <c r="AC16">
        <f>HYPERLINK("https://klasma.github.io/Logging_1461/tillsyn/S 1087-2024 tillsynsbegäran.docx", "S 1087-2024")</f>
        <v/>
      </c>
      <c r="AD16">
        <f>HYPERLINK("https://klasma.github.io/Logging_1461/tillsynsmail/S 1087-2024 tillsynsbegäran mail.docx", "S 1087-2024")</f>
        <v/>
      </c>
    </row>
    <row r="17" ht="15" customHeight="1">
      <c r="A17" t="inlineStr">
        <is>
          <t>A 58906-2022</t>
        </is>
      </c>
      <c r="B17" t="inlineStr">
        <is>
          <t>avverkningsanmälan</t>
        </is>
      </c>
      <c r="C17" t="inlineStr">
        <is>
          <t>Avverkning för annat ändamål</t>
        </is>
      </c>
      <c r="D17" s="1" t="n">
        <v>44896</v>
      </c>
      <c r="E17" s="1" t="n">
        <v>46252</v>
      </c>
      <c r="F17" t="inlineStr">
        <is>
          <t>VÄSTRA GÖTALANDS LÄN</t>
        </is>
      </c>
      <c r="G17" t="inlineStr">
        <is>
          <t>MELLERUD</t>
        </is>
      </c>
      <c r="I17" t="n">
        <v>22</v>
      </c>
      <c r="J17" t="n">
        <v>1</v>
      </c>
      <c r="K17" t="n">
        <v>1</v>
      </c>
      <c r="L17" t="n">
        <v>0</v>
      </c>
      <c r="M17" t="n">
        <v>1</v>
      </c>
      <c r="N17" t="n">
        <v>0</v>
      </c>
      <c r="O17" t="n">
        <v>0</v>
      </c>
      <c r="P17" t="n">
        <v>0</v>
      </c>
      <c r="Q17" t="n">
        <v>1</v>
      </c>
      <c r="R17" t="n">
        <v>1</v>
      </c>
      <c r="S17" t="n">
        <v>2</v>
      </c>
      <c r="T17" t="n">
        <v>2</v>
      </c>
      <c r="U17" t="n">
        <v>1</v>
      </c>
      <c r="V17" s="2" t="inlineStr">
        <is>
          <t>Trollsmultron
Skogsknipprot</t>
        </is>
      </c>
      <c r="W17">
        <f>HYPERLINK("https://klasma.github.io/Logging_1461/artfynd/A 58906-2022 artfynd.xlsx", "A 58906-2022")</f>
        <v/>
      </c>
      <c r="X17">
        <f>HYPERLINK("https://klasma.github.io/Logging_1461/kartor/A 58906-2022 karta.png", "A 58906-2022")</f>
        <v/>
      </c>
      <c r="Y17">
        <f>HYPERLINK("https://klasma.github.io/Logging_1461/kartor_geotiff/A 58906-2022 georefererad karta.tif", "A 58906-2022")</f>
        <v/>
      </c>
      <c r="AA17">
        <f>HYPERLINK("https://klasma.github.io/Logging_1461/klagomål/A 58906-2022 FSC-klagomål.docx", "A 58906-2022")</f>
        <v/>
      </c>
      <c r="AB17">
        <f>HYPERLINK("https://klasma.github.io/Logging_1461/klagomålsmail/A 58906-2022 FSC-klagomål mail.docx", "A 58906-2022")</f>
        <v/>
      </c>
      <c r="AC17">
        <f>HYPERLINK("https://klasma.github.io/Logging_1461/tillsyn/A 58906-2022 tillsynsbegäran.docx", "A 58906-2022")</f>
        <v/>
      </c>
      <c r="AD17">
        <f>HYPERLINK("https://klasma.github.io/Logging_1461/tillsynsmail/A 58906-2022 tillsynsbegäran mail.docx", "A 58906-2022")</f>
        <v/>
      </c>
    </row>
    <row r="18" ht="15" customHeight="1">
      <c r="A18" t="inlineStr">
        <is>
          <t>A 36451-2022</t>
        </is>
      </c>
      <c r="B18" t="inlineStr">
        <is>
          <t>avverkningsanmälan</t>
        </is>
      </c>
      <c r="C18" t="inlineStr">
        <is>
          <t>Avverkning för annat ändamål</t>
        </is>
      </c>
      <c r="D18" s="1" t="n">
        <v>44804</v>
      </c>
      <c r="E18" s="1" t="n">
        <v>46252</v>
      </c>
      <c r="F18" t="inlineStr">
        <is>
          <t>VÄSTRA GÖTALANDS LÄN</t>
        </is>
      </c>
      <c r="G18" t="inlineStr">
        <is>
          <t>MELLERUD</t>
        </is>
      </c>
      <c r="I18" t="n">
        <v>1</v>
      </c>
      <c r="J18" t="n">
        <v>1</v>
      </c>
      <c r="K18" t="n">
        <v>0</v>
      </c>
      <c r="L18" t="n">
        <v>1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t="n">
        <v>0</v>
      </c>
      <c r="S18" t="n">
        <v>1</v>
      </c>
      <c r="T18" t="n">
        <v>1</v>
      </c>
      <c r="U18" t="n">
        <v>1</v>
      </c>
      <c r="V18" s="2" t="inlineStr">
        <is>
          <t>Sparvuggla</t>
        </is>
      </c>
      <c r="W18">
        <f>HYPERLINK("https://klasma.github.io/Logging_1461/artfynd/A 36451-2022 artfynd.xlsx", "A 36451-2022")</f>
        <v/>
      </c>
      <c r="X18">
        <f>HYPERLINK("https://klasma.github.io/Logging_1461/kartor/A 36451-2022 karta.png", "A 36451-2022")</f>
        <v/>
      </c>
      <c r="Y18">
        <f>HYPERLINK("https://klasma.github.io/Logging_1461/kartor_geotiff/A 36451-2022 georefererad karta.tif", "A 36451-2022")</f>
        <v/>
      </c>
      <c r="AA18">
        <f>HYPERLINK("https://klasma.github.io/Logging_1461/klagomål/A 36451-2022 FSC-klagomål.docx", "A 36451-2022")</f>
        <v/>
      </c>
      <c r="AB18">
        <f>HYPERLINK("https://klasma.github.io/Logging_1461/klagomålsmail/A 36451-2022 FSC-klagomål mail.docx", "A 36451-2022")</f>
        <v/>
      </c>
      <c r="AC18">
        <f>HYPERLINK("https://klasma.github.io/Logging_1461/tillsyn/A 36451-2022 tillsynsbegäran.docx", "A 36451-2022")</f>
        <v/>
      </c>
      <c r="AD18">
        <f>HYPERLINK("https://klasma.github.io/Logging_1461/tillsynsmail/A 36451-2022 tillsynsbegäran mail.docx", "A 36451-2022")</f>
        <v/>
      </c>
      <c r="AE18">
        <f>HYPERLINK("https://klasma.github.io/Logging_1461/fåglar/A 36451-2022 prioriterade fågelarter.docx", "A 36451-2022")</f>
        <v/>
      </c>
    </row>
    <row r="19" ht="15" customHeight="1">
      <c r="A19" t="inlineStr">
        <is>
          <t>A 29279-2022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44750</v>
      </c>
      <c r="E19" s="1" t="n">
        <v>46252</v>
      </c>
      <c r="F19" t="inlineStr">
        <is>
          <t>VÄSTRA GÖTALANDS LÄN</t>
        </is>
      </c>
      <c r="G19" t="inlineStr">
        <is>
          <t>MELLERUD</t>
        </is>
      </c>
      <c r="I19" t="n">
        <v>9.800000000000001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t="n">
        <v>0</v>
      </c>
      <c r="S19" t="n">
        <v>1</v>
      </c>
      <c r="T19" t="n">
        <v>1</v>
      </c>
      <c r="U19" t="n">
        <v>0</v>
      </c>
      <c r="V19" s="2" t="inlineStr">
        <is>
          <t>Rödlånke</t>
        </is>
      </c>
      <c r="W19">
        <f>HYPERLINK("https://klasma.github.io/Logging_1461/artfynd/A 29279-2022 artfynd.xlsx", "A 29279-2022")</f>
        <v/>
      </c>
      <c r="X19">
        <f>HYPERLINK("https://klasma.github.io/Logging_1461/kartor/A 29279-2022 karta.png", "A 29279-2022")</f>
        <v/>
      </c>
      <c r="Y19">
        <f>HYPERLINK("https://klasma.github.io/Logging_1461/kartor_geotiff/A 29279-2022 georefererad karta.tif", "A 29279-2022")</f>
        <v/>
      </c>
      <c r="AA19">
        <f>HYPERLINK("https://klasma.github.io/Logging_1461/klagomål/A 29279-2022 FSC-klagomål.docx", "A 29279-2022")</f>
        <v/>
      </c>
      <c r="AB19">
        <f>HYPERLINK("https://klasma.github.io/Logging_1461/klagomålsmail/A 29279-2022 FSC-klagomål mail.docx", "A 29279-2022")</f>
        <v/>
      </c>
      <c r="AC19">
        <f>HYPERLINK("https://klasma.github.io/Logging_1461/tillsyn/A 29279-2022 tillsynsbegäran.docx", "A 29279-2022")</f>
        <v/>
      </c>
      <c r="AD19">
        <f>HYPERLINK("https://klasma.github.io/Logging_1461/tillsynsmail/A 29279-2022 tillsynsbegäran mail.docx", "A 29279-2022")</f>
        <v/>
      </c>
    </row>
    <row r="20" ht="15" customHeight="1">
      <c r="A20" t="inlineStr">
        <is>
          <t>A 8169-2023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44974</v>
      </c>
      <c r="E20" s="1" t="n">
        <v>46252</v>
      </c>
      <c r="F20" t="inlineStr">
        <is>
          <t>VÄSTRA GÖTALANDS LÄN</t>
        </is>
      </c>
      <c r="G20" t="inlineStr">
        <is>
          <t>MELLERUD</t>
        </is>
      </c>
      <c r="I20" t="n">
        <v>1.8</v>
      </c>
      <c r="J20" t="n">
        <v>0</v>
      </c>
      <c r="K20" t="n">
        <v>0</v>
      </c>
      <c r="L20" t="n">
        <v>1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t="n">
        <v>0</v>
      </c>
      <c r="S20" t="n">
        <v>1</v>
      </c>
      <c r="T20" t="n">
        <v>1</v>
      </c>
      <c r="U20" t="n">
        <v>1</v>
      </c>
      <c r="V20" s="2" t="inlineStr">
        <is>
          <t>Älg</t>
        </is>
      </c>
      <c r="W20">
        <f>HYPERLINK("https://klasma.github.io/Logging_1461/artfynd/A 8169-2023 artfynd.xlsx", "A 8169-2023")</f>
        <v/>
      </c>
      <c r="X20">
        <f>HYPERLINK("https://klasma.github.io/Logging_1461/kartor/A 8169-2023 karta.png", "A 8169-2023")</f>
        <v/>
      </c>
      <c r="Y20">
        <f>HYPERLINK("https://klasma.github.io/Logging_1461/kartor_geotiff/A 8169-2023 georefererad karta.tif", "A 8169-2023")</f>
        <v/>
      </c>
      <c r="AA20">
        <f>HYPERLINK("https://klasma.github.io/Logging_1461/klagomål/A 8169-2023 FSC-klagomål.docx", "A 8169-2023")</f>
        <v/>
      </c>
      <c r="AB20">
        <f>HYPERLINK("https://klasma.github.io/Logging_1461/klagomålsmail/A 8169-2023 FSC-klagomål mail.docx", "A 8169-2023")</f>
        <v/>
      </c>
      <c r="AC20">
        <f>HYPERLINK("https://klasma.github.io/Logging_1461/tillsyn/A 8169-2023 tillsynsbegäran.docx", "A 8169-2023")</f>
        <v/>
      </c>
      <c r="AD20">
        <f>HYPERLINK("https://klasma.github.io/Logging_1461/tillsynsmail/A 8169-2023 tillsynsbegäran mail.docx", "A 8169-2023")</f>
        <v/>
      </c>
    </row>
    <row r="21" ht="15" customHeight="1">
      <c r="A21" t="inlineStr">
        <is>
          <t>A 10814-2024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45369</v>
      </c>
      <c r="E21" s="1" t="n">
        <v>46252</v>
      </c>
      <c r="F21" t="inlineStr">
        <is>
          <t>VÄSTRA GÖTALANDS LÄN</t>
        </is>
      </c>
      <c r="G21" t="inlineStr">
        <is>
          <t>MELLERUD</t>
        </is>
      </c>
      <c r="H21" t="inlineStr">
        <is>
          <t>Övriga Aktiebolag</t>
        </is>
      </c>
      <c r="I21" t="n">
        <v>6.6</v>
      </c>
      <c r="J21" t="n">
        <v>0</v>
      </c>
      <c r="K21" t="n">
        <v>0</v>
      </c>
      <c r="L21" t="n">
        <v>0</v>
      </c>
      <c r="M21" t="n">
        <v>1</v>
      </c>
      <c r="N21" t="n">
        <v>0</v>
      </c>
      <c r="O21" t="n">
        <v>0</v>
      </c>
      <c r="P21" t="n">
        <v>0</v>
      </c>
      <c r="Q21" t="n">
        <v>1</v>
      </c>
      <c r="R21" t="n">
        <v>1</v>
      </c>
      <c r="S21" t="n">
        <v>1</v>
      </c>
      <c r="T21" t="n">
        <v>1</v>
      </c>
      <c r="U21" t="n">
        <v>0</v>
      </c>
      <c r="V21" s="2" t="inlineStr">
        <is>
          <t>Brunfläckig pärlemorfjäril</t>
        </is>
      </c>
      <c r="W21">
        <f>HYPERLINK("https://klasma.github.io/Logging_1461/artfynd/A 10814-2024 artfynd.xlsx", "A 10814-2024")</f>
        <v/>
      </c>
      <c r="X21">
        <f>HYPERLINK("https://klasma.github.io/Logging_1461/kartor/A 10814-2024 karta.png", "A 10814-2024")</f>
        <v/>
      </c>
      <c r="Y21">
        <f>HYPERLINK("https://klasma.github.io/Logging_1461/kartor_geotiff/A 10814-2024 georefererad karta.tif", "A 10814-2024")</f>
        <v/>
      </c>
      <c r="AA21">
        <f>HYPERLINK("https://klasma.github.io/Logging_1461/klagomål/A 10814-2024 FSC-klagomål.docx", "A 10814-2024")</f>
        <v/>
      </c>
      <c r="AB21">
        <f>HYPERLINK("https://klasma.github.io/Logging_1461/klagomålsmail/A 10814-2024 FSC-klagomål mail.docx", "A 10814-2024")</f>
        <v/>
      </c>
      <c r="AC21">
        <f>HYPERLINK("https://klasma.github.io/Logging_1461/tillsyn/A 10814-2024 tillsynsbegäran.docx", "A 10814-2024")</f>
        <v/>
      </c>
      <c r="AD21">
        <f>HYPERLINK("https://klasma.github.io/Logging_1461/tillsynsmail/A 10814-2024 tillsynsbegäran mail.docx", "A 10814-2024")</f>
        <v/>
      </c>
    </row>
    <row r="22" ht="15" customHeight="1">
      <c r="A22" t="inlineStr">
        <is>
          <t>A 43349-2024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45568</v>
      </c>
      <c r="E22" s="1" t="n">
        <v>46252</v>
      </c>
      <c r="F22" t="inlineStr">
        <is>
          <t>VÄSTRA GÖTALANDS LÄN</t>
        </is>
      </c>
      <c r="G22" t="inlineStr">
        <is>
          <t>MELLERUD</t>
        </is>
      </c>
      <c r="I22" t="n">
        <v>4.1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t="n">
        <v>0</v>
      </c>
      <c r="S22" t="n">
        <v>1</v>
      </c>
      <c r="T22" t="n">
        <v>1</v>
      </c>
      <c r="U22" t="n">
        <v>1</v>
      </c>
      <c r="V22" s="2" t="inlineStr">
        <is>
          <t>Älg</t>
        </is>
      </c>
      <c r="W22">
        <f>HYPERLINK("https://klasma.github.io/Logging_1461/artfynd/A 43349-2024 artfynd.xlsx", "A 43349-2024")</f>
        <v/>
      </c>
      <c r="X22">
        <f>HYPERLINK("https://klasma.github.io/Logging_1461/kartor/A 43349-2024 karta.png", "A 43349-2024")</f>
        <v/>
      </c>
      <c r="Y22">
        <f>HYPERLINK("https://klasma.github.io/Logging_1461/kartor_geotiff/A 43349-2024 georefererad karta.tif", "A 43349-2024")</f>
        <v/>
      </c>
      <c r="AA22">
        <f>HYPERLINK("https://klasma.github.io/Logging_1461/klagomål/A 43349-2024 FSC-klagomål.docx", "A 43349-2024")</f>
        <v/>
      </c>
      <c r="AB22">
        <f>HYPERLINK("https://klasma.github.io/Logging_1461/klagomålsmail/A 43349-2024 FSC-klagomål mail.docx", "A 43349-2024")</f>
        <v/>
      </c>
      <c r="AC22">
        <f>HYPERLINK("https://klasma.github.io/Logging_1461/tillsyn/A 43349-2024 tillsynsbegäran.docx", "A 43349-2024")</f>
        <v/>
      </c>
      <c r="AD22">
        <f>HYPERLINK("https://klasma.github.io/Logging_1461/tillsynsmail/A 43349-2024 tillsynsbegäran mail.docx", "A 43349-2024")</f>
        <v/>
      </c>
    </row>
    <row r="23" ht="15" customHeight="1">
      <c r="A23" t="inlineStr">
        <is>
          <t>A 3992-2023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44952</v>
      </c>
      <c r="E23" s="1" t="n">
        <v>46252</v>
      </c>
      <c r="F23" t="inlineStr">
        <is>
          <t>VÄSTRA GÖTALANDS LÄN</t>
        </is>
      </c>
      <c r="G23" t="inlineStr">
        <is>
          <t>MELLERUD</t>
        </is>
      </c>
      <c r="I23" t="n">
        <v>0.7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1</v>
      </c>
      <c r="T23" t="n">
        <v>1</v>
      </c>
      <c r="U23" t="n">
        <v>0</v>
      </c>
      <c r="V23" s="2" t="inlineStr">
        <is>
          <t>Fläcknycklar</t>
        </is>
      </c>
      <c r="W23">
        <f>HYPERLINK("https://klasma.github.io/Logging_1461/artfynd/A 3992-2023 artfynd.xlsx", "A 3992-2023")</f>
        <v/>
      </c>
      <c r="X23">
        <f>HYPERLINK("https://klasma.github.io/Logging_1461/kartor/A 3992-2023 karta.png", "A 3992-2023")</f>
        <v/>
      </c>
      <c r="Y23">
        <f>HYPERLINK("https://klasma.github.io/Logging_1461/kartor_geotiff/A 3992-2023 georefererad karta.tif", "A 3992-2023")</f>
        <v/>
      </c>
      <c r="AA23">
        <f>HYPERLINK("https://klasma.github.io/Logging_1461/klagomål/A 3992-2023 FSC-klagomål.docx", "A 3992-2023")</f>
        <v/>
      </c>
      <c r="AB23">
        <f>HYPERLINK("https://klasma.github.io/Logging_1461/klagomålsmail/A 3992-2023 FSC-klagomål mail.docx", "A 3992-2023")</f>
        <v/>
      </c>
      <c r="AC23">
        <f>HYPERLINK("https://klasma.github.io/Logging_1461/tillsyn/A 3992-2023 tillsynsbegäran.docx", "A 3992-2023")</f>
        <v/>
      </c>
      <c r="AD23">
        <f>HYPERLINK("https://klasma.github.io/Logging_1461/tillsynsmail/A 3992-2023 tillsynsbegäran mail.docx", "A 3992-2023")</f>
        <v/>
      </c>
    </row>
    <row r="24" ht="15" customHeight="1">
      <c r="A24" t="inlineStr">
        <is>
          <t>A 23546-2026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46163</v>
      </c>
      <c r="E24" s="1" t="n">
        <v>46252</v>
      </c>
      <c r="F24" t="inlineStr">
        <is>
          <t>VÄSTRA GÖTALANDS LÄN</t>
        </is>
      </c>
      <c r="G24" t="inlineStr">
        <is>
          <t>MELLERUD</t>
        </is>
      </c>
      <c r="I24" t="n">
        <v>3.6</v>
      </c>
      <c r="J24" t="n">
        <v>0</v>
      </c>
      <c r="K24" t="n">
        <v>0</v>
      </c>
      <c r="L24" t="n">
        <v>1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t="n">
        <v>0</v>
      </c>
      <c r="S24" t="n">
        <v>1</v>
      </c>
      <c r="T24" t="n">
        <v>3</v>
      </c>
      <c r="U24" t="n">
        <v>0</v>
      </c>
      <c r="V24" s="2" t="inlineStr">
        <is>
          <t>Lunglav</t>
        </is>
      </c>
      <c r="W24">
        <f>HYPERLINK("https://klasma.github.io/Logging_1461/artfynd/A 23546-2026 artfynd.xlsx", "A 23546-2026")</f>
        <v/>
      </c>
      <c r="X24">
        <f>HYPERLINK("https://klasma.github.io/Logging_1461/kartor/A 23546-2026 karta.png", "A 23546-2026")</f>
        <v/>
      </c>
      <c r="Y24">
        <f>HYPERLINK("https://klasma.github.io/Logging_1461/kartor_geotiff/A 23546-2026 georefererad karta.tif", "A 23546-2026")</f>
        <v/>
      </c>
      <c r="AA24">
        <f>HYPERLINK("https://klasma.github.io/Logging_1461/klagomål/A 23546-2026 FSC-klagomål.docx", "A 23546-2026")</f>
        <v/>
      </c>
      <c r="AB24">
        <f>HYPERLINK("https://klasma.github.io/Logging_1461/klagomålsmail/A 23546-2026 FSC-klagomål mail.docx", "A 23546-2026")</f>
        <v/>
      </c>
      <c r="AC24">
        <f>HYPERLINK("https://klasma.github.io/Logging_1461/tillsyn/A 23546-2026 tillsynsbegäran.docx", "A 23546-2026")</f>
        <v/>
      </c>
      <c r="AD24">
        <f>HYPERLINK("https://klasma.github.io/Logging_1461/tillsynsmail/A 23546-2026 tillsynsbegäran mail.docx", "A 23546-2026")</f>
        <v/>
      </c>
    </row>
    <row r="25" ht="15" customHeight="1">
      <c r="A25" t="inlineStr">
        <is>
          <t>A 43531-2025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45911</v>
      </c>
      <c r="E25" s="1" t="n">
        <v>46252</v>
      </c>
      <c r="F25" t="inlineStr">
        <is>
          <t>VÄSTRA GÖTALANDS LÄN</t>
        </is>
      </c>
      <c r="G25" t="inlineStr">
        <is>
          <t>MELLERUD</t>
        </is>
      </c>
      <c r="H25" t="inlineStr">
        <is>
          <t>Övriga Aktiebolag</t>
        </is>
      </c>
      <c r="I25" t="n">
        <v>8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1</v>
      </c>
      <c r="T25" t="n">
        <v>1</v>
      </c>
      <c r="U25" t="n">
        <v>0</v>
      </c>
      <c r="V25" s="2" t="inlineStr">
        <is>
          <t>Kungsfågel</t>
        </is>
      </c>
      <c r="W25">
        <f>HYPERLINK("https://klasma.github.io/Logging_1461/artfynd/A 43531-2025 artfynd.xlsx", "A 43531-2025")</f>
        <v/>
      </c>
      <c r="X25">
        <f>HYPERLINK("https://klasma.github.io/Logging_1461/kartor/A 43531-2025 karta.png", "A 43531-2025")</f>
        <v/>
      </c>
      <c r="Y25">
        <f>HYPERLINK("https://klasma.github.io/Logging_1461/kartor_geotiff/A 43531-2025 georefererad karta.tif", "A 43531-2025")</f>
        <v/>
      </c>
      <c r="AA25">
        <f>HYPERLINK("https://klasma.github.io/Logging_1461/klagomål/A 43531-2025 FSC-klagomål.docx", "A 43531-2025")</f>
        <v/>
      </c>
      <c r="AB25">
        <f>HYPERLINK("https://klasma.github.io/Logging_1461/klagomålsmail/A 43531-2025 FSC-klagomål mail.docx", "A 43531-2025")</f>
        <v/>
      </c>
      <c r="AC25">
        <f>HYPERLINK("https://klasma.github.io/Logging_1461/tillsyn/A 43531-2025 tillsynsbegäran.docx", "A 43531-2025")</f>
        <v/>
      </c>
      <c r="AD25">
        <f>HYPERLINK("https://klasma.github.io/Logging_1461/tillsynsmail/A 43531-2025 tillsynsbegäran mail.docx", "A 43531-2025")</f>
        <v/>
      </c>
    </row>
    <row r="26" ht="15" customHeight="1">
      <c r="A26" t="inlineStr">
        <is>
          <t>A 29569-2022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44754</v>
      </c>
      <c r="E26" s="1" t="n">
        <v>46252</v>
      </c>
      <c r="F26" t="inlineStr">
        <is>
          <t>VÄSTRA GÖTALANDS LÄN</t>
        </is>
      </c>
      <c r="G26" t="inlineStr">
        <is>
          <t>MELLERUD</t>
        </is>
      </c>
      <c r="I26" t="n">
        <v>0.6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42622-2021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44428</v>
      </c>
      <c r="E27" s="1" t="n">
        <v>46252</v>
      </c>
      <c r="F27" t="inlineStr">
        <is>
          <t>VÄSTRA GÖTALANDS LÄN</t>
        </is>
      </c>
      <c r="G27" t="inlineStr">
        <is>
          <t>MELLERUD</t>
        </is>
      </c>
      <c r="I27" t="n">
        <v>4.1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25495-2022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44732</v>
      </c>
      <c r="E28" s="1" t="n">
        <v>46252</v>
      </c>
      <c r="F28" t="inlineStr">
        <is>
          <t>VÄSTRA GÖTALANDS LÄN</t>
        </is>
      </c>
      <c r="G28" t="inlineStr">
        <is>
          <t>MELLERUD</t>
        </is>
      </c>
      <c r="I28" t="n">
        <v>0.5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9008-2022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44615</v>
      </c>
      <c r="E29" s="1" t="n">
        <v>46252</v>
      </c>
      <c r="F29" t="inlineStr">
        <is>
          <t>VÄSTRA GÖTALANDS LÄN</t>
        </is>
      </c>
      <c r="G29" t="inlineStr">
        <is>
          <t>MELLERUD</t>
        </is>
      </c>
      <c r="I29" t="n">
        <v>0.1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32627-2022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44783</v>
      </c>
      <c r="E30" s="1" t="n">
        <v>46252</v>
      </c>
      <c r="F30" t="inlineStr">
        <is>
          <t>VÄSTRA GÖTALANDS LÄN</t>
        </is>
      </c>
      <c r="G30" t="inlineStr">
        <is>
          <t>MELLERUD</t>
        </is>
      </c>
      <c r="I30" t="n">
        <v>1.6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29639-2022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44754</v>
      </c>
      <c r="E31" s="1" t="n">
        <v>46252</v>
      </c>
      <c r="F31" t="inlineStr">
        <is>
          <t>VÄSTRA GÖTALANDS LÄN</t>
        </is>
      </c>
      <c r="G31" t="inlineStr">
        <is>
          <t>MELLERUD</t>
        </is>
      </c>
      <c r="I31" t="n">
        <v>1.3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45465-2021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44440</v>
      </c>
      <c r="E32" s="1" t="n">
        <v>46252</v>
      </c>
      <c r="F32" t="inlineStr">
        <is>
          <t>VÄSTRA GÖTALANDS LÄN</t>
        </is>
      </c>
      <c r="G32" t="inlineStr">
        <is>
          <t>MELLERUD</t>
        </is>
      </c>
      <c r="I32" t="n">
        <v>2.7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51547-2021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44461</v>
      </c>
      <c r="E33" s="1" t="n">
        <v>46252</v>
      </c>
      <c r="F33" t="inlineStr">
        <is>
          <t>VÄSTRA GÖTALANDS LÄN</t>
        </is>
      </c>
      <c r="G33" t="inlineStr">
        <is>
          <t>MELLERUD</t>
        </is>
      </c>
      <c r="I33" t="n">
        <v>1.4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72617-2021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44546</v>
      </c>
      <c r="E34" s="1" t="n">
        <v>46252</v>
      </c>
      <c r="F34" t="inlineStr">
        <is>
          <t>VÄSTRA GÖTALANDS LÄN</t>
        </is>
      </c>
      <c r="G34" t="inlineStr">
        <is>
          <t>MELLERUD</t>
        </is>
      </c>
      <c r="I34" t="n">
        <v>0.7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29336-2022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44752</v>
      </c>
      <c r="E35" s="1" t="n">
        <v>46252</v>
      </c>
      <c r="F35" t="inlineStr">
        <is>
          <t>VÄSTRA GÖTALANDS LÄN</t>
        </is>
      </c>
      <c r="G35" t="inlineStr">
        <is>
          <t>MELLERUD</t>
        </is>
      </c>
      <c r="I35" t="n">
        <v>1.7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57805-2021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44484</v>
      </c>
      <c r="E36" s="1" t="n">
        <v>46252</v>
      </c>
      <c r="F36" t="inlineStr">
        <is>
          <t>VÄSTRA GÖTALANDS LÄN</t>
        </is>
      </c>
      <c r="G36" t="inlineStr">
        <is>
          <t>MELLERUD</t>
        </is>
      </c>
      <c r="I36" t="n">
        <v>11.3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52243-2022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44873</v>
      </c>
      <c r="E37" s="1" t="n">
        <v>46252</v>
      </c>
      <c r="F37" t="inlineStr">
        <is>
          <t>VÄSTRA GÖTALANDS LÄN</t>
        </is>
      </c>
      <c r="G37" t="inlineStr">
        <is>
          <t>MELLERUD</t>
        </is>
      </c>
      <c r="I37" t="n">
        <v>0.4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50370-2021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44456</v>
      </c>
      <c r="E38" s="1" t="n">
        <v>46252</v>
      </c>
      <c r="F38" t="inlineStr">
        <is>
          <t>VÄSTRA GÖTALANDS LÄN</t>
        </is>
      </c>
      <c r="G38" t="inlineStr">
        <is>
          <t>MELLERUD</t>
        </is>
      </c>
      <c r="I38" t="n">
        <v>2.4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53672-2021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44469</v>
      </c>
      <c r="E39" s="1" t="n">
        <v>46252</v>
      </c>
      <c r="F39" t="inlineStr">
        <is>
          <t>VÄSTRA GÖTALANDS LÄN</t>
        </is>
      </c>
      <c r="G39" t="inlineStr">
        <is>
          <t>MELLERUD</t>
        </is>
      </c>
      <c r="I39" t="n">
        <v>2.7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29341-2022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44752</v>
      </c>
      <c r="E40" s="1" t="n">
        <v>46252</v>
      </c>
      <c r="F40" t="inlineStr">
        <is>
          <t>VÄSTRA GÖTALANDS LÄN</t>
        </is>
      </c>
      <c r="G40" t="inlineStr">
        <is>
          <t>MELLERUD</t>
        </is>
      </c>
      <c r="I40" t="n">
        <v>3.9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73-2022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44564</v>
      </c>
      <c r="E41" s="1" t="n">
        <v>46252</v>
      </c>
      <c r="F41" t="inlineStr">
        <is>
          <t>VÄSTRA GÖTALANDS LÄN</t>
        </is>
      </c>
      <c r="G41" t="inlineStr">
        <is>
          <t>MELLERUD</t>
        </is>
      </c>
      <c r="I41" t="n">
        <v>3.8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44833-2021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44438</v>
      </c>
      <c r="E42" s="1" t="n">
        <v>46252</v>
      </c>
      <c r="F42" t="inlineStr">
        <is>
          <t>VÄSTRA GÖTALANDS LÄN</t>
        </is>
      </c>
      <c r="G42" t="inlineStr">
        <is>
          <t>MELLERUD</t>
        </is>
      </c>
      <c r="I42" t="n">
        <v>7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50694-2021</t>
        </is>
      </c>
      <c r="B43" t="inlineStr">
        <is>
          <t>avverkningsanmälan</t>
        </is>
      </c>
      <c r="C43" t="inlineStr">
        <is>
          <t>Avverkning för annat ändamål</t>
        </is>
      </c>
      <c r="D43" s="1" t="n">
        <v>44460</v>
      </c>
      <c r="E43" s="1" t="n">
        <v>46252</v>
      </c>
      <c r="F43" t="inlineStr">
        <is>
          <t>VÄSTRA GÖTALANDS LÄN</t>
        </is>
      </c>
      <c r="G43" t="inlineStr">
        <is>
          <t>MELLERUD</t>
        </is>
      </c>
      <c r="I43" t="n">
        <v>1.2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2355-2022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44578</v>
      </c>
      <c r="E44" s="1" t="n">
        <v>46252</v>
      </c>
      <c r="F44" t="inlineStr">
        <is>
          <t>VÄSTRA GÖTALANDS LÄN</t>
        </is>
      </c>
      <c r="G44" t="inlineStr">
        <is>
          <t>MELLERUD</t>
        </is>
      </c>
      <c r="I44" t="n">
        <v>0.7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15025-2022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44657</v>
      </c>
      <c r="E45" s="1" t="n">
        <v>46252</v>
      </c>
      <c r="F45" t="inlineStr">
        <is>
          <t>VÄSTRA GÖTALANDS LÄN</t>
        </is>
      </c>
      <c r="G45" t="inlineStr">
        <is>
          <t>MELLERUD</t>
        </is>
      </c>
      <c r="I45" t="n">
        <v>1.5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44530-2022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44840</v>
      </c>
      <c r="E46" s="1" t="n">
        <v>46252</v>
      </c>
      <c r="F46" t="inlineStr">
        <is>
          <t>VÄSTRA GÖTALANDS LÄN</t>
        </is>
      </c>
      <c r="G46" t="inlineStr">
        <is>
          <t>MELLERUD</t>
        </is>
      </c>
      <c r="I46" t="n">
        <v>0.6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9796-2022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44620</v>
      </c>
      <c r="E47" s="1" t="n">
        <v>46252</v>
      </c>
      <c r="F47" t="inlineStr">
        <is>
          <t>VÄSTRA GÖTALANDS LÄN</t>
        </is>
      </c>
      <c r="G47" t="inlineStr">
        <is>
          <t>MELLERUD</t>
        </is>
      </c>
      <c r="I47" t="n">
        <v>0.9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17109-2022</t>
        </is>
      </c>
      <c r="B48" t="inlineStr">
        <is>
          <t>avverkningsanmälan</t>
        </is>
      </c>
      <c r="C48" t="inlineStr">
        <is>
          <t>Avverkning för annat ändamål</t>
        </is>
      </c>
      <c r="D48" s="1" t="n">
        <v>44677</v>
      </c>
      <c r="E48" s="1" t="n">
        <v>46252</v>
      </c>
      <c r="F48" t="inlineStr">
        <is>
          <t>VÄSTRA GÖTALANDS LÄN</t>
        </is>
      </c>
      <c r="G48" t="inlineStr">
        <is>
          <t>MELLERUD</t>
        </is>
      </c>
      <c r="I48" t="n">
        <v>0.6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23350-2022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44720</v>
      </c>
      <c r="E49" s="1" t="n">
        <v>46252</v>
      </c>
      <c r="F49" t="inlineStr">
        <is>
          <t>VÄSTRA GÖTALANDS LÄN</t>
        </is>
      </c>
      <c r="G49" t="inlineStr">
        <is>
          <t>MELLERUD</t>
        </is>
      </c>
      <c r="I49" t="n">
        <v>0.4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44884-2021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44438</v>
      </c>
      <c r="E50" s="1" t="n">
        <v>46252</v>
      </c>
      <c r="F50" t="inlineStr">
        <is>
          <t>VÄSTRA GÖTALANDS LÄN</t>
        </is>
      </c>
      <c r="G50" t="inlineStr">
        <is>
          <t>MELLERUD</t>
        </is>
      </c>
      <c r="I50" t="n">
        <v>5.7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60395-2024</t>
        </is>
      </c>
      <c r="B51" t="inlineStr">
        <is>
          <t>avverkningsanmälan</t>
        </is>
      </c>
      <c r="C51" t="inlineStr">
        <is>
          <t>Avverkning för annat ändamål</t>
        </is>
      </c>
      <c r="D51" s="1" t="n">
        <v>45643</v>
      </c>
      <c r="E51" s="1" t="n">
        <v>46252</v>
      </c>
      <c r="F51" t="inlineStr">
        <is>
          <t>VÄSTRA GÖTALANDS LÄN</t>
        </is>
      </c>
      <c r="G51" t="inlineStr">
        <is>
          <t>MELLERUD</t>
        </is>
      </c>
      <c r="I51" t="n">
        <v>2.1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17693-2023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45037</v>
      </c>
      <c r="E52" s="1" t="n">
        <v>46252</v>
      </c>
      <c r="F52" t="inlineStr">
        <is>
          <t>VÄSTRA GÖTALANDS LÄN</t>
        </is>
      </c>
      <c r="G52" t="inlineStr">
        <is>
          <t>MELLERUD</t>
        </is>
      </c>
      <c r="I52" t="n">
        <v>11.3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12501-2025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45730</v>
      </c>
      <c r="E53" s="1" t="n">
        <v>46252</v>
      </c>
      <c r="F53" t="inlineStr">
        <is>
          <t>VÄSTRA GÖTALANDS LÄN</t>
        </is>
      </c>
      <c r="G53" t="inlineStr">
        <is>
          <t>MELLERUD</t>
        </is>
      </c>
      <c r="I53" t="n">
        <v>2.1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11848-2025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45728</v>
      </c>
      <c r="E54" s="1" t="n">
        <v>46252</v>
      </c>
      <c r="F54" t="inlineStr">
        <is>
          <t>VÄSTRA GÖTALANDS LÄN</t>
        </is>
      </c>
      <c r="G54" t="inlineStr">
        <is>
          <t>MELLERUD</t>
        </is>
      </c>
      <c r="I54" t="n">
        <v>2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8165-2023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44974</v>
      </c>
      <c r="E55" s="1" t="n">
        <v>46252</v>
      </c>
      <c r="F55" t="inlineStr">
        <is>
          <t>VÄSTRA GÖTALANDS LÄN</t>
        </is>
      </c>
      <c r="G55" t="inlineStr">
        <is>
          <t>MELLERUD</t>
        </is>
      </c>
      <c r="I55" t="n">
        <v>1.9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17528-2024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45415</v>
      </c>
      <c r="E56" s="1" t="n">
        <v>46252</v>
      </c>
      <c r="F56" t="inlineStr">
        <is>
          <t>VÄSTRA GÖTALANDS LÄN</t>
        </is>
      </c>
      <c r="G56" t="inlineStr">
        <is>
          <t>MELLERUD</t>
        </is>
      </c>
      <c r="I56" t="n">
        <v>3.6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52922-2024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45610</v>
      </c>
      <c r="E57" s="1" t="n">
        <v>46252</v>
      </c>
      <c r="F57" t="inlineStr">
        <is>
          <t>VÄSTRA GÖTALANDS LÄN</t>
        </is>
      </c>
      <c r="G57" t="inlineStr">
        <is>
          <t>MELLERUD</t>
        </is>
      </c>
      <c r="I57" t="n">
        <v>1.2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17019-2022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44676</v>
      </c>
      <c r="E58" s="1" t="n">
        <v>46252</v>
      </c>
      <c r="F58" t="inlineStr">
        <is>
          <t>VÄSTRA GÖTALANDS LÄN</t>
        </is>
      </c>
      <c r="G58" t="inlineStr">
        <is>
          <t>MELLERUD</t>
        </is>
      </c>
      <c r="I58" t="n">
        <v>0.7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7228-2025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45702</v>
      </c>
      <c r="E59" s="1" t="n">
        <v>46252</v>
      </c>
      <c r="F59" t="inlineStr">
        <is>
          <t>VÄSTRA GÖTALANDS LÄN</t>
        </is>
      </c>
      <c r="G59" t="inlineStr">
        <is>
          <t>MELLERUD</t>
        </is>
      </c>
      <c r="I59" t="n">
        <v>1.4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28319-2025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45818</v>
      </c>
      <c r="E60" s="1" t="n">
        <v>46252</v>
      </c>
      <c r="F60" t="inlineStr">
        <is>
          <t>VÄSTRA GÖTALANDS LÄN</t>
        </is>
      </c>
      <c r="G60" t="inlineStr">
        <is>
          <t>MELLERUD</t>
        </is>
      </c>
      <c r="I60" t="n">
        <v>1.9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32384-2023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45120</v>
      </c>
      <c r="E61" s="1" t="n">
        <v>46252</v>
      </c>
      <c r="F61" t="inlineStr">
        <is>
          <t>VÄSTRA GÖTALANDS LÄN</t>
        </is>
      </c>
      <c r="G61" t="inlineStr">
        <is>
          <t>MELLERUD</t>
        </is>
      </c>
      <c r="I61" t="n">
        <v>1.1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39171-2022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44817</v>
      </c>
      <c r="E62" s="1" t="n">
        <v>46252</v>
      </c>
      <c r="F62" t="inlineStr">
        <is>
          <t>VÄSTRA GÖTALANDS LÄN</t>
        </is>
      </c>
      <c r="G62" t="inlineStr">
        <is>
          <t>MELLERUD</t>
        </is>
      </c>
      <c r="I62" t="n">
        <v>0.5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28870-2025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45820</v>
      </c>
      <c r="E63" s="1" t="n">
        <v>46252</v>
      </c>
      <c r="F63" t="inlineStr">
        <is>
          <t>VÄSTRA GÖTALANDS LÄN</t>
        </is>
      </c>
      <c r="G63" t="inlineStr">
        <is>
          <t>MELLERUD</t>
        </is>
      </c>
      <c r="I63" t="n">
        <v>7.9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71252-2021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44539</v>
      </c>
      <c r="E64" s="1" t="n">
        <v>46252</v>
      </c>
      <c r="F64" t="inlineStr">
        <is>
          <t>VÄSTRA GÖTALANDS LÄN</t>
        </is>
      </c>
      <c r="G64" t="inlineStr">
        <is>
          <t>MELLERUD</t>
        </is>
      </c>
      <c r="I64" t="n">
        <v>2.7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38653-2025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45884</v>
      </c>
      <c r="E65" s="1" t="n">
        <v>46252</v>
      </c>
      <c r="F65" t="inlineStr">
        <is>
          <t>VÄSTRA GÖTALANDS LÄN</t>
        </is>
      </c>
      <c r="G65" t="inlineStr">
        <is>
          <t>MELLERUD</t>
        </is>
      </c>
      <c r="I65" t="n">
        <v>5.3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21097-2022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44704</v>
      </c>
      <c r="E66" s="1" t="n">
        <v>46252</v>
      </c>
      <c r="F66" t="inlineStr">
        <is>
          <t>VÄSTRA GÖTALANDS LÄN</t>
        </is>
      </c>
      <c r="G66" t="inlineStr">
        <is>
          <t>MELLERUD</t>
        </is>
      </c>
      <c r="I66" t="n">
        <v>0.4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63539-2021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44508</v>
      </c>
      <c r="E67" s="1" t="n">
        <v>46252</v>
      </c>
      <c r="F67" t="inlineStr">
        <is>
          <t>VÄSTRA GÖTALANDS LÄN</t>
        </is>
      </c>
      <c r="G67" t="inlineStr">
        <is>
          <t>MELLERUD</t>
        </is>
      </c>
      <c r="I67" t="n">
        <v>1.1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57801-2021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44484</v>
      </c>
      <c r="E68" s="1" t="n">
        <v>46252</v>
      </c>
      <c r="F68" t="inlineStr">
        <is>
          <t>VÄSTRA GÖTALANDS LÄN</t>
        </is>
      </c>
      <c r="G68" t="inlineStr">
        <is>
          <t>MELLERUD</t>
        </is>
      </c>
      <c r="I68" t="n">
        <v>3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38888-2025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45887</v>
      </c>
      <c r="E69" s="1" t="n">
        <v>46252</v>
      </c>
      <c r="F69" t="inlineStr">
        <is>
          <t>VÄSTRA GÖTALANDS LÄN</t>
        </is>
      </c>
      <c r="G69" t="inlineStr">
        <is>
          <t>MELLERUD</t>
        </is>
      </c>
      <c r="I69" t="n">
        <v>1.2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52269-2022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44873</v>
      </c>
      <c r="E70" s="1" t="n">
        <v>46252</v>
      </c>
      <c r="F70" t="inlineStr">
        <is>
          <t>VÄSTRA GÖTALANDS LÄN</t>
        </is>
      </c>
      <c r="G70" t="inlineStr">
        <is>
          <t>MELLERUD</t>
        </is>
      </c>
      <c r="I70" t="n">
        <v>4.6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6283-2023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44965</v>
      </c>
      <c r="E71" s="1" t="n">
        <v>46252</v>
      </c>
      <c r="F71" t="inlineStr">
        <is>
          <t>VÄSTRA GÖTALANDS LÄN</t>
        </is>
      </c>
      <c r="G71" t="inlineStr">
        <is>
          <t>MELLERUD</t>
        </is>
      </c>
      <c r="I71" t="n">
        <v>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40064-2023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45168</v>
      </c>
      <c r="E72" s="1" t="n">
        <v>46252</v>
      </c>
      <c r="F72" t="inlineStr">
        <is>
          <t>VÄSTRA GÖTALANDS LÄN</t>
        </is>
      </c>
      <c r="G72" t="inlineStr">
        <is>
          <t>MELLERUD</t>
        </is>
      </c>
      <c r="I72" t="n">
        <v>1.3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34415-2024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45525</v>
      </c>
      <c r="E73" s="1" t="n">
        <v>46252</v>
      </c>
      <c r="F73" t="inlineStr">
        <is>
          <t>VÄSTRA GÖTALANDS LÄN</t>
        </is>
      </c>
      <c r="G73" t="inlineStr">
        <is>
          <t>MELLERUD</t>
        </is>
      </c>
      <c r="I73" t="n">
        <v>4.3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32304-2024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45512</v>
      </c>
      <c r="E74" s="1" t="n">
        <v>46252</v>
      </c>
      <c r="F74" t="inlineStr">
        <is>
          <t>VÄSTRA GÖTALANDS LÄN</t>
        </is>
      </c>
      <c r="G74" t="inlineStr">
        <is>
          <t>MELLERUD</t>
        </is>
      </c>
      <c r="I74" t="n">
        <v>2.2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46761-2023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45198</v>
      </c>
      <c r="E75" s="1" t="n">
        <v>46252</v>
      </c>
      <c r="F75" t="inlineStr">
        <is>
          <t>VÄSTRA GÖTALANDS LÄN</t>
        </is>
      </c>
      <c r="G75" t="inlineStr">
        <is>
          <t>MELLERUD</t>
        </is>
      </c>
      <c r="I75" t="n">
        <v>1.3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27908-2025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45817</v>
      </c>
      <c r="E76" s="1" t="n">
        <v>46252</v>
      </c>
      <c r="F76" t="inlineStr">
        <is>
          <t>VÄSTRA GÖTALANDS LÄN</t>
        </is>
      </c>
      <c r="G76" t="inlineStr">
        <is>
          <t>MELLERUD</t>
        </is>
      </c>
      <c r="I76" t="n">
        <v>2.1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32842-2025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45839</v>
      </c>
      <c r="E77" s="1" t="n">
        <v>46252</v>
      </c>
      <c r="F77" t="inlineStr">
        <is>
          <t>VÄSTRA GÖTALANDS LÄN</t>
        </is>
      </c>
      <c r="G77" t="inlineStr">
        <is>
          <t>MELLERUD</t>
        </is>
      </c>
      <c r="I77" t="n">
        <v>6.1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21077-2023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45057</v>
      </c>
      <c r="E78" s="1" t="n">
        <v>46252</v>
      </c>
      <c r="F78" t="inlineStr">
        <is>
          <t>VÄSTRA GÖTALANDS LÄN</t>
        </is>
      </c>
      <c r="G78" t="inlineStr">
        <is>
          <t>MELLERUD</t>
        </is>
      </c>
      <c r="I78" t="n">
        <v>1.3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32642-2022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44783</v>
      </c>
      <c r="E79" s="1" t="n">
        <v>46252</v>
      </c>
      <c r="F79" t="inlineStr">
        <is>
          <t>VÄSTRA GÖTALANDS LÄN</t>
        </is>
      </c>
      <c r="G79" t="inlineStr">
        <is>
          <t>MELLERUD</t>
        </is>
      </c>
      <c r="I79" t="n">
        <v>4.2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22313-2023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45070</v>
      </c>
      <c r="E80" s="1" t="n">
        <v>46252</v>
      </c>
      <c r="F80" t="inlineStr">
        <is>
          <t>VÄSTRA GÖTALANDS LÄN</t>
        </is>
      </c>
      <c r="G80" t="inlineStr">
        <is>
          <t>MELLERUD</t>
        </is>
      </c>
      <c r="I80" t="n">
        <v>1.1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52128-2021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44463</v>
      </c>
      <c r="E81" s="1" t="n">
        <v>46252</v>
      </c>
      <c r="F81" t="inlineStr">
        <is>
          <t>VÄSTRA GÖTALANDS LÄN</t>
        </is>
      </c>
      <c r="G81" t="inlineStr">
        <is>
          <t>MELLERUD</t>
        </is>
      </c>
      <c r="I81" t="n">
        <v>1.9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42723-2025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45908</v>
      </c>
      <c r="E82" s="1" t="n">
        <v>46252</v>
      </c>
      <c r="F82" t="inlineStr">
        <is>
          <t>VÄSTRA GÖTALANDS LÄN</t>
        </is>
      </c>
      <c r="G82" t="inlineStr">
        <is>
          <t>MELLERUD</t>
        </is>
      </c>
      <c r="I82" t="n">
        <v>2.4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17160-2024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45412</v>
      </c>
      <c r="E83" s="1" t="n">
        <v>46252</v>
      </c>
      <c r="F83" t="inlineStr">
        <is>
          <t>VÄSTRA GÖTALANDS LÄN</t>
        </is>
      </c>
      <c r="G83" t="inlineStr">
        <is>
          <t>MELLERUD</t>
        </is>
      </c>
      <c r="I83" t="n">
        <v>3.5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48256-2022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44858</v>
      </c>
      <c r="E84" s="1" t="n">
        <v>46252</v>
      </c>
      <c r="F84" t="inlineStr">
        <is>
          <t>VÄSTRA GÖTALANDS LÄN</t>
        </is>
      </c>
      <c r="G84" t="inlineStr">
        <is>
          <t>MELLERUD</t>
        </is>
      </c>
      <c r="I84" t="n">
        <v>1.9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61060-2022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44915</v>
      </c>
      <c r="E85" s="1" t="n">
        <v>46252</v>
      </c>
      <c r="F85" t="inlineStr">
        <is>
          <t>VÄSTRA GÖTALANDS LÄN</t>
        </is>
      </c>
      <c r="G85" t="inlineStr">
        <is>
          <t>MELLERUD</t>
        </is>
      </c>
      <c r="I85" t="n">
        <v>8.4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61061-2022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44915</v>
      </c>
      <c r="E86" s="1" t="n">
        <v>46252</v>
      </c>
      <c r="F86" t="inlineStr">
        <is>
          <t>VÄSTRA GÖTALANDS LÄN</t>
        </is>
      </c>
      <c r="G86" t="inlineStr">
        <is>
          <t>MELLERUD</t>
        </is>
      </c>
      <c r="I86" t="n">
        <v>8.5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43398-2025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45911</v>
      </c>
      <c r="E87" s="1" t="n">
        <v>46252</v>
      </c>
      <c r="F87" t="inlineStr">
        <is>
          <t>VÄSTRA GÖTALANDS LÄN</t>
        </is>
      </c>
      <c r="G87" t="inlineStr">
        <is>
          <t>MELLERUD</t>
        </is>
      </c>
      <c r="I87" t="n">
        <v>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3989-2023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44952</v>
      </c>
      <c r="E88" s="1" t="n">
        <v>46252</v>
      </c>
      <c r="F88" t="inlineStr">
        <is>
          <t>VÄSTRA GÖTALANDS LÄN</t>
        </is>
      </c>
      <c r="G88" t="inlineStr">
        <is>
          <t>MELLERUD</t>
        </is>
      </c>
      <c r="I88" t="n">
        <v>1.5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44020-2025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45915</v>
      </c>
      <c r="E89" s="1" t="n">
        <v>46252</v>
      </c>
      <c r="F89" t="inlineStr">
        <is>
          <t>VÄSTRA GÖTALANDS LÄN</t>
        </is>
      </c>
      <c r="G89" t="inlineStr">
        <is>
          <t>MELLERUD</t>
        </is>
      </c>
      <c r="I89" t="n">
        <v>3.1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44600-2025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45917</v>
      </c>
      <c r="E90" s="1" t="n">
        <v>46252</v>
      </c>
      <c r="F90" t="inlineStr">
        <is>
          <t>VÄSTRA GÖTALANDS LÄN</t>
        </is>
      </c>
      <c r="G90" t="inlineStr">
        <is>
          <t>MELLERUD</t>
        </is>
      </c>
      <c r="I90" t="n">
        <v>7.2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9374-2023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44981</v>
      </c>
      <c r="E91" s="1" t="n">
        <v>46252</v>
      </c>
      <c r="F91" t="inlineStr">
        <is>
          <t>VÄSTRA GÖTALANDS LÄN</t>
        </is>
      </c>
      <c r="G91" t="inlineStr">
        <is>
          <t>MELLERUD</t>
        </is>
      </c>
      <c r="I91" t="n">
        <v>0.5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44608-2025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45917</v>
      </c>
      <c r="E92" s="1" t="n">
        <v>46252</v>
      </c>
      <c r="F92" t="inlineStr">
        <is>
          <t>VÄSTRA GÖTALANDS LÄN</t>
        </is>
      </c>
      <c r="G92" t="inlineStr">
        <is>
          <t>MELLERUD</t>
        </is>
      </c>
      <c r="I92" t="n">
        <v>1.2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44573-2025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45917</v>
      </c>
      <c r="E93" s="1" t="n">
        <v>46252</v>
      </c>
      <c r="F93" t="inlineStr">
        <is>
          <t>VÄSTRA GÖTALANDS LÄN</t>
        </is>
      </c>
      <c r="G93" t="inlineStr">
        <is>
          <t>MELLERUD</t>
        </is>
      </c>
      <c r="I93" t="n">
        <v>5.5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8152-2023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44974</v>
      </c>
      <c r="E94" s="1" t="n">
        <v>46252</v>
      </c>
      <c r="F94" t="inlineStr">
        <is>
          <t>VÄSTRA GÖTALANDS LÄN</t>
        </is>
      </c>
      <c r="G94" t="inlineStr">
        <is>
          <t>MELLERUD</t>
        </is>
      </c>
      <c r="I94" t="n">
        <v>1.4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4054-2025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45684</v>
      </c>
      <c r="E95" s="1" t="n">
        <v>46252</v>
      </c>
      <c r="F95" t="inlineStr">
        <is>
          <t>VÄSTRA GÖTALANDS LÄN</t>
        </is>
      </c>
      <c r="G95" t="inlineStr">
        <is>
          <t>MELLERUD</t>
        </is>
      </c>
      <c r="I95" t="n">
        <v>1.9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40065-2023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45168</v>
      </c>
      <c r="E96" s="1" t="n">
        <v>46252</v>
      </c>
      <c r="F96" t="inlineStr">
        <is>
          <t>VÄSTRA GÖTALANDS LÄN</t>
        </is>
      </c>
      <c r="G96" t="inlineStr">
        <is>
          <t>MELLERUD</t>
        </is>
      </c>
      <c r="I96" t="n">
        <v>2.7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23450-2025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45792</v>
      </c>
      <c r="E97" s="1" t="n">
        <v>46252</v>
      </c>
      <c r="F97" t="inlineStr">
        <is>
          <t>VÄSTRA GÖTALANDS LÄN</t>
        </is>
      </c>
      <c r="G97" t="inlineStr">
        <is>
          <t>MELLERUD</t>
        </is>
      </c>
      <c r="I97" t="n">
        <v>2.6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45861-2025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45923</v>
      </c>
      <c r="E98" s="1" t="n">
        <v>46252</v>
      </c>
      <c r="F98" t="inlineStr">
        <is>
          <t>VÄSTRA GÖTALANDS LÄN</t>
        </is>
      </c>
      <c r="G98" t="inlineStr">
        <is>
          <t>MELLERUD</t>
        </is>
      </c>
      <c r="I98" t="n">
        <v>10.2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45935-2025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45923</v>
      </c>
      <c r="E99" s="1" t="n">
        <v>46252</v>
      </c>
      <c r="F99" t="inlineStr">
        <is>
          <t>VÄSTRA GÖTALANDS LÄN</t>
        </is>
      </c>
      <c r="G99" t="inlineStr">
        <is>
          <t>MELLERUD</t>
        </is>
      </c>
      <c r="I99" t="n">
        <v>1.2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45991-2025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45924</v>
      </c>
      <c r="E100" s="1" t="n">
        <v>46252</v>
      </c>
      <c r="F100" t="inlineStr">
        <is>
          <t>VÄSTRA GÖTALANDS LÄN</t>
        </is>
      </c>
      <c r="G100" t="inlineStr">
        <is>
          <t>MELLERUD</t>
        </is>
      </c>
      <c r="I100" t="n">
        <v>4.4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19872-2023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45054</v>
      </c>
      <c r="E101" s="1" t="n">
        <v>46252</v>
      </c>
      <c r="F101" t="inlineStr">
        <is>
          <t>VÄSTRA GÖTALANDS LÄN</t>
        </is>
      </c>
      <c r="G101" t="inlineStr">
        <is>
          <t>MELLERUD</t>
        </is>
      </c>
      <c r="I101" t="n">
        <v>8.4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46872-2025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45929</v>
      </c>
      <c r="E102" s="1" t="n">
        <v>46252</v>
      </c>
      <c r="F102" t="inlineStr">
        <is>
          <t>VÄSTRA GÖTALANDS LÄN</t>
        </is>
      </c>
      <c r="G102" t="inlineStr">
        <is>
          <t>MELLERUD</t>
        </is>
      </c>
      <c r="I102" t="n">
        <v>0.4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56025-2024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45624</v>
      </c>
      <c r="E103" s="1" t="n">
        <v>46252</v>
      </c>
      <c r="F103" t="inlineStr">
        <is>
          <t>VÄSTRA GÖTALANDS LÄN</t>
        </is>
      </c>
      <c r="G103" t="inlineStr">
        <is>
          <t>MELLERUD</t>
        </is>
      </c>
      <c r="I103" t="n">
        <v>2.1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11442-2024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45372</v>
      </c>
      <c r="E104" s="1" t="n">
        <v>46252</v>
      </c>
      <c r="F104" t="inlineStr">
        <is>
          <t>VÄSTRA GÖTALANDS LÄN</t>
        </is>
      </c>
      <c r="G104" t="inlineStr">
        <is>
          <t>MELLERUD</t>
        </is>
      </c>
      <c r="I104" t="n">
        <v>2.4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9152-2024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45357</v>
      </c>
      <c r="E105" s="1" t="n">
        <v>46252</v>
      </c>
      <c r="F105" t="inlineStr">
        <is>
          <t>VÄSTRA GÖTALANDS LÄN</t>
        </is>
      </c>
      <c r="G105" t="inlineStr">
        <is>
          <t>MELLERUD</t>
        </is>
      </c>
      <c r="I105" t="n">
        <v>0.7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46668-2025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45926</v>
      </c>
      <c r="E106" s="1" t="n">
        <v>46252</v>
      </c>
      <c r="F106" t="inlineStr">
        <is>
          <t>VÄSTRA GÖTALANDS LÄN</t>
        </is>
      </c>
      <c r="G106" t="inlineStr">
        <is>
          <t>MELLERUD</t>
        </is>
      </c>
      <c r="I106" t="n">
        <v>0.9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15227-2025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45744</v>
      </c>
      <c r="E107" s="1" t="n">
        <v>46252</v>
      </c>
      <c r="F107" t="inlineStr">
        <is>
          <t>VÄSTRA GÖTALANDS LÄN</t>
        </is>
      </c>
      <c r="G107" t="inlineStr">
        <is>
          <t>MELLERUD</t>
        </is>
      </c>
      <c r="I107" t="n">
        <v>0.7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26639-2025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45810</v>
      </c>
      <c r="E108" s="1" t="n">
        <v>46252</v>
      </c>
      <c r="F108" t="inlineStr">
        <is>
          <t>VÄSTRA GÖTALANDS LÄN</t>
        </is>
      </c>
      <c r="G108" t="inlineStr">
        <is>
          <t>MELLERUD</t>
        </is>
      </c>
      <c r="I108" t="n">
        <v>5.4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45834-2023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45195</v>
      </c>
      <c r="E109" s="1" t="n">
        <v>46252</v>
      </c>
      <c r="F109" t="inlineStr">
        <is>
          <t>VÄSTRA GÖTALANDS LÄN</t>
        </is>
      </c>
      <c r="G109" t="inlineStr">
        <is>
          <t>MELLERUD</t>
        </is>
      </c>
      <c r="I109" t="n">
        <v>1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51463-2023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45221</v>
      </c>
      <c r="E110" s="1" t="n">
        <v>46252</v>
      </c>
      <c r="F110" t="inlineStr">
        <is>
          <t>VÄSTRA GÖTALANDS LÄN</t>
        </is>
      </c>
      <c r="G110" t="inlineStr">
        <is>
          <t>MELLERUD</t>
        </is>
      </c>
      <c r="I110" t="n">
        <v>2.3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36141-2025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45866</v>
      </c>
      <c r="E111" s="1" t="n">
        <v>46252</v>
      </c>
      <c r="F111" t="inlineStr">
        <is>
          <t>VÄSTRA GÖTALANDS LÄN</t>
        </is>
      </c>
      <c r="G111" t="inlineStr">
        <is>
          <t>MELLERUD</t>
        </is>
      </c>
      <c r="I111" t="n">
        <v>0.9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36145-2025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45866</v>
      </c>
      <c r="E112" s="1" t="n">
        <v>46252</v>
      </c>
      <c r="F112" t="inlineStr">
        <is>
          <t>VÄSTRA GÖTALANDS LÄN</t>
        </is>
      </c>
      <c r="G112" t="inlineStr">
        <is>
          <t>MELLERUD</t>
        </is>
      </c>
      <c r="I112" t="n">
        <v>0.7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36048-2025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45866</v>
      </c>
      <c r="E113" s="1" t="n">
        <v>46252</v>
      </c>
      <c r="F113" t="inlineStr">
        <is>
          <t>VÄSTRA GÖTALANDS LÄN</t>
        </is>
      </c>
      <c r="G113" t="inlineStr">
        <is>
          <t>MELLERUD</t>
        </is>
      </c>
      <c r="I113" t="n">
        <v>1.2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51173-2023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45212</v>
      </c>
      <c r="E114" s="1" t="n">
        <v>46252</v>
      </c>
      <c r="F114" t="inlineStr">
        <is>
          <t>VÄSTRA GÖTALANDS LÄN</t>
        </is>
      </c>
      <c r="G114" t="inlineStr">
        <is>
          <t>MELLERUD</t>
        </is>
      </c>
      <c r="I114" t="n">
        <v>2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8492-2022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44613</v>
      </c>
      <c r="E115" s="1" t="n">
        <v>46252</v>
      </c>
      <c r="F115" t="inlineStr">
        <is>
          <t>VÄSTRA GÖTALANDS LÄN</t>
        </is>
      </c>
      <c r="G115" t="inlineStr">
        <is>
          <t>MELLERUD</t>
        </is>
      </c>
      <c r="I115" t="n">
        <v>1.6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9456-2024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45359</v>
      </c>
      <c r="E116" s="1" t="n">
        <v>46252</v>
      </c>
      <c r="F116" t="inlineStr">
        <is>
          <t>VÄSTRA GÖTALANDS LÄN</t>
        </is>
      </c>
      <c r="G116" t="inlineStr">
        <is>
          <t>MELLERUD</t>
        </is>
      </c>
      <c r="I116" t="n">
        <v>1.8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32549-2024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45513</v>
      </c>
      <c r="E117" s="1" t="n">
        <v>46252</v>
      </c>
      <c r="F117" t="inlineStr">
        <is>
          <t>VÄSTRA GÖTALANDS LÄN</t>
        </is>
      </c>
      <c r="G117" t="inlineStr">
        <is>
          <t>MELLERUD</t>
        </is>
      </c>
      <c r="I117" t="n">
        <v>1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48879-2024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45594</v>
      </c>
      <c r="E118" s="1" t="n">
        <v>46252</v>
      </c>
      <c r="F118" t="inlineStr">
        <is>
          <t>VÄSTRA GÖTALANDS LÄN</t>
        </is>
      </c>
      <c r="G118" t="inlineStr">
        <is>
          <t>MELLERUD</t>
        </is>
      </c>
      <c r="I118" t="n">
        <v>1.1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5647-2023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44960</v>
      </c>
      <c r="E119" s="1" t="n">
        <v>46252</v>
      </c>
      <c r="F119" t="inlineStr">
        <is>
          <t>VÄSTRA GÖTALANDS LÄN</t>
        </is>
      </c>
      <c r="G119" t="inlineStr">
        <is>
          <t>MELLERUD</t>
        </is>
      </c>
      <c r="I119" t="n">
        <v>0.7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49718-2025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45939</v>
      </c>
      <c r="E120" s="1" t="n">
        <v>46252</v>
      </c>
      <c r="F120" t="inlineStr">
        <is>
          <t>VÄSTRA GÖTALANDS LÄN</t>
        </is>
      </c>
      <c r="G120" t="inlineStr">
        <is>
          <t>MELLERUD</t>
        </is>
      </c>
      <c r="I120" t="n">
        <v>1.1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7154-2024</t>
        </is>
      </c>
      <c r="B121" t="inlineStr">
        <is>
          <t>avverkningsanmälan</t>
        </is>
      </c>
      <c r="C121" t="inlineStr">
        <is>
          <t>Avverkning för annat ändamål</t>
        </is>
      </c>
      <c r="D121" s="1" t="n">
        <v>45344</v>
      </c>
      <c r="E121" s="1" t="n">
        <v>46252</v>
      </c>
      <c r="F121" t="inlineStr">
        <is>
          <t>VÄSTRA GÖTALANDS LÄN</t>
        </is>
      </c>
      <c r="G121" t="inlineStr">
        <is>
          <t>MELLERUD</t>
        </is>
      </c>
      <c r="I121" t="n">
        <v>0.9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4416-2025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45686</v>
      </c>
      <c r="E122" s="1" t="n">
        <v>46252</v>
      </c>
      <c r="F122" t="inlineStr">
        <is>
          <t>VÄSTRA GÖTALANDS LÄN</t>
        </is>
      </c>
      <c r="G122" t="inlineStr">
        <is>
          <t>MELLERUD</t>
        </is>
      </c>
      <c r="I122" t="n">
        <v>0.5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12334-2024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45378</v>
      </c>
      <c r="E123" s="1" t="n">
        <v>46252</v>
      </c>
      <c r="F123" t="inlineStr">
        <is>
          <t>VÄSTRA GÖTALANDS LÄN</t>
        </is>
      </c>
      <c r="G123" t="inlineStr">
        <is>
          <t>MELLERUD</t>
        </is>
      </c>
      <c r="I123" t="n">
        <v>2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12713-2022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44641</v>
      </c>
      <c r="E124" s="1" t="n">
        <v>46252</v>
      </c>
      <c r="F124" t="inlineStr">
        <is>
          <t>VÄSTRA GÖTALANDS LÄN</t>
        </is>
      </c>
      <c r="G124" t="inlineStr">
        <is>
          <t>MELLERUD</t>
        </is>
      </c>
      <c r="I124" t="n">
        <v>2.9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33388-2022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44788</v>
      </c>
      <c r="E125" s="1" t="n">
        <v>46252</v>
      </c>
      <c r="F125" t="inlineStr">
        <is>
          <t>VÄSTRA GÖTALANDS LÄN</t>
        </is>
      </c>
      <c r="G125" t="inlineStr">
        <is>
          <t>MELLERUD</t>
        </is>
      </c>
      <c r="I125" t="n">
        <v>8.699999999999999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24978-2022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44728</v>
      </c>
      <c r="E126" s="1" t="n">
        <v>46252</v>
      </c>
      <c r="F126" t="inlineStr">
        <is>
          <t>VÄSTRA GÖTALANDS LÄN</t>
        </is>
      </c>
      <c r="G126" t="inlineStr">
        <is>
          <t>MELLERUD</t>
        </is>
      </c>
      <c r="I126" t="n">
        <v>2.4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11219-2024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45371</v>
      </c>
      <c r="E127" s="1" t="n">
        <v>46252</v>
      </c>
      <c r="F127" t="inlineStr">
        <is>
          <t>VÄSTRA GÖTALANDS LÄN</t>
        </is>
      </c>
      <c r="G127" t="inlineStr">
        <is>
          <t>MELLERUD</t>
        </is>
      </c>
      <c r="I127" t="n">
        <v>6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46917-2022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44851</v>
      </c>
      <c r="E128" s="1" t="n">
        <v>46252</v>
      </c>
      <c r="F128" t="inlineStr">
        <is>
          <t>VÄSTRA GÖTALANDS LÄN</t>
        </is>
      </c>
      <c r="G128" t="inlineStr">
        <is>
          <t>MELLERUD</t>
        </is>
      </c>
      <c r="I128" t="n">
        <v>0.8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43406-2025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45911</v>
      </c>
      <c r="E129" s="1" t="n">
        <v>46252</v>
      </c>
      <c r="F129" t="inlineStr">
        <is>
          <t>VÄSTRA GÖTALANDS LÄN</t>
        </is>
      </c>
      <c r="G129" t="inlineStr">
        <is>
          <t>MELLERUD</t>
        </is>
      </c>
      <c r="I129" t="n">
        <v>1.5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37267-2024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45540</v>
      </c>
      <c r="E130" s="1" t="n">
        <v>46252</v>
      </c>
      <c r="F130" t="inlineStr">
        <is>
          <t>VÄSTRA GÖTALANDS LÄN</t>
        </is>
      </c>
      <c r="G130" t="inlineStr">
        <is>
          <t>MELLERUD</t>
        </is>
      </c>
      <c r="I130" t="n">
        <v>4.2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36963-2025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45874</v>
      </c>
      <c r="E131" s="1" t="n">
        <v>46252</v>
      </c>
      <c r="F131" t="inlineStr">
        <is>
          <t>VÄSTRA GÖTALANDS LÄN</t>
        </is>
      </c>
      <c r="G131" t="inlineStr">
        <is>
          <t>MELLERUD</t>
        </is>
      </c>
      <c r="I131" t="n">
        <v>0.7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18205-2024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45420</v>
      </c>
      <c r="E132" s="1" t="n">
        <v>46252</v>
      </c>
      <c r="F132" t="inlineStr">
        <is>
          <t>VÄSTRA GÖTALANDS LÄN</t>
        </is>
      </c>
      <c r="G132" t="inlineStr">
        <is>
          <t>MELLERUD</t>
        </is>
      </c>
      <c r="I132" t="n">
        <v>0.9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14596-2022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44655</v>
      </c>
      <c r="E133" s="1" t="n">
        <v>46252</v>
      </c>
      <c r="F133" t="inlineStr">
        <is>
          <t>VÄSTRA GÖTALANDS LÄN</t>
        </is>
      </c>
      <c r="G133" t="inlineStr">
        <is>
          <t>MELLERUD</t>
        </is>
      </c>
      <c r="I133" t="n">
        <v>0.9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13800-2023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45007</v>
      </c>
      <c r="E134" s="1" t="n">
        <v>46252</v>
      </c>
      <c r="F134" t="inlineStr">
        <is>
          <t>VÄSTRA GÖTALANDS LÄN</t>
        </is>
      </c>
      <c r="G134" t="inlineStr">
        <is>
          <t>MELLERUD</t>
        </is>
      </c>
      <c r="I134" t="n">
        <v>1.1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8155-2023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44974</v>
      </c>
      <c r="E135" s="1" t="n">
        <v>46252</v>
      </c>
      <c r="F135" t="inlineStr">
        <is>
          <t>VÄSTRA GÖTALANDS LÄN</t>
        </is>
      </c>
      <c r="G135" t="inlineStr">
        <is>
          <t>MELLERUD</t>
        </is>
      </c>
      <c r="I135" t="n">
        <v>2.7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12157-2022</t>
        </is>
      </c>
      <c r="B136" t="inlineStr">
        <is>
          <t>avverkningsanmälan</t>
        </is>
      </c>
      <c r="C136" t="inlineStr">
        <is>
          <t>Avverkning för annat ändamål</t>
        </is>
      </c>
      <c r="D136" s="1" t="n">
        <v>44636</v>
      </c>
      <c r="E136" s="1" t="n">
        <v>46252</v>
      </c>
      <c r="F136" t="inlineStr">
        <is>
          <t>VÄSTRA GÖTALANDS LÄN</t>
        </is>
      </c>
      <c r="G136" t="inlineStr">
        <is>
          <t>MELLERUD</t>
        </is>
      </c>
      <c r="I136" t="n">
        <v>2.7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50478-2025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45945</v>
      </c>
      <c r="E137" s="1" t="n">
        <v>46252</v>
      </c>
      <c r="F137" t="inlineStr">
        <is>
          <t>VÄSTRA GÖTALANDS LÄN</t>
        </is>
      </c>
      <c r="G137" t="inlineStr">
        <is>
          <t>MELLERUD</t>
        </is>
      </c>
      <c r="I137" t="n">
        <v>1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50482-2025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45945</v>
      </c>
      <c r="E138" s="1" t="n">
        <v>46252</v>
      </c>
      <c r="F138" t="inlineStr">
        <is>
          <t>VÄSTRA GÖTALANDS LÄN</t>
        </is>
      </c>
      <c r="G138" t="inlineStr">
        <is>
          <t>MELLERUD</t>
        </is>
      </c>
      <c r="I138" t="n">
        <v>8.800000000000001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53232-2025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45958</v>
      </c>
      <c r="E139" s="1" t="n">
        <v>46252</v>
      </c>
      <c r="F139" t="inlineStr">
        <is>
          <t>VÄSTRA GÖTALANDS LÄN</t>
        </is>
      </c>
      <c r="G139" t="inlineStr">
        <is>
          <t>MELLERUD</t>
        </is>
      </c>
      <c r="I139" t="n">
        <v>0.8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52471-2023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45225</v>
      </c>
      <c r="E140" s="1" t="n">
        <v>46252</v>
      </c>
      <c r="F140" t="inlineStr">
        <is>
          <t>VÄSTRA GÖTALANDS LÄN</t>
        </is>
      </c>
      <c r="G140" t="inlineStr">
        <is>
          <t>MELLERUD</t>
        </is>
      </c>
      <c r="I140" t="n">
        <v>2.5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51783-2023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45222</v>
      </c>
      <c r="E141" s="1" t="n">
        <v>46252</v>
      </c>
      <c r="F141" t="inlineStr">
        <is>
          <t>VÄSTRA GÖTALANDS LÄN</t>
        </is>
      </c>
      <c r="G141" t="inlineStr">
        <is>
          <t>MELLERUD</t>
        </is>
      </c>
      <c r="I141" t="n">
        <v>1.8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39535-2024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45551</v>
      </c>
      <c r="E142" s="1" t="n">
        <v>46252</v>
      </c>
      <c r="F142" t="inlineStr">
        <is>
          <t>VÄSTRA GÖTALANDS LÄN</t>
        </is>
      </c>
      <c r="G142" t="inlineStr">
        <is>
          <t>MELLERUD</t>
        </is>
      </c>
      <c r="I142" t="n">
        <v>4.7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7443-2023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44971</v>
      </c>
      <c r="E143" s="1" t="n">
        <v>46252</v>
      </c>
      <c r="F143" t="inlineStr">
        <is>
          <t>VÄSTRA GÖTALANDS LÄN</t>
        </is>
      </c>
      <c r="G143" t="inlineStr">
        <is>
          <t>MELLERUD</t>
        </is>
      </c>
      <c r="I143" t="n">
        <v>0.6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38040-2025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45882</v>
      </c>
      <c r="E144" s="1" t="n">
        <v>46252</v>
      </c>
      <c r="F144" t="inlineStr">
        <is>
          <t>VÄSTRA GÖTALANDS LÄN</t>
        </is>
      </c>
      <c r="G144" t="inlineStr">
        <is>
          <t>MELLERUD</t>
        </is>
      </c>
      <c r="I144" t="n">
        <v>2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38663-2025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45884</v>
      </c>
      <c r="E145" s="1" t="n">
        <v>46252</v>
      </c>
      <c r="F145" t="inlineStr">
        <is>
          <t>VÄSTRA GÖTALANDS LÄN</t>
        </is>
      </c>
      <c r="G145" t="inlineStr">
        <is>
          <t>MELLERUD</t>
        </is>
      </c>
      <c r="I145" t="n">
        <v>4.2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56026-2025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45973</v>
      </c>
      <c r="E146" s="1" t="n">
        <v>46252</v>
      </c>
      <c r="F146" t="inlineStr">
        <is>
          <t>VÄSTRA GÖTALANDS LÄN</t>
        </is>
      </c>
      <c r="G146" t="inlineStr">
        <is>
          <t>MELLERUD</t>
        </is>
      </c>
      <c r="I146" t="n">
        <v>2.2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10356-2025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45720</v>
      </c>
      <c r="E147" s="1" t="n">
        <v>46252</v>
      </c>
      <c r="F147" t="inlineStr">
        <is>
          <t>VÄSTRA GÖTALANDS LÄN</t>
        </is>
      </c>
      <c r="G147" t="inlineStr">
        <is>
          <t>MELLERUD</t>
        </is>
      </c>
      <c r="I147" t="n">
        <v>0.5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10428-2022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44623</v>
      </c>
      <c r="E148" s="1" t="n">
        <v>46252</v>
      </c>
      <c r="F148" t="inlineStr">
        <is>
          <t>VÄSTRA GÖTALANDS LÄN</t>
        </is>
      </c>
      <c r="G148" t="inlineStr">
        <is>
          <t>MELLERUD</t>
        </is>
      </c>
      <c r="I148" t="n">
        <v>1.9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17685-2024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45418</v>
      </c>
      <c r="E149" s="1" t="n">
        <v>46252</v>
      </c>
      <c r="F149" t="inlineStr">
        <is>
          <t>VÄSTRA GÖTALANDS LÄN</t>
        </is>
      </c>
      <c r="G149" t="inlineStr">
        <is>
          <t>MELLERUD</t>
        </is>
      </c>
      <c r="I149" t="n">
        <v>0.9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56349-2025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45974</v>
      </c>
      <c r="E150" s="1" t="n">
        <v>46252</v>
      </c>
      <c r="F150" t="inlineStr">
        <is>
          <t>VÄSTRA GÖTALANDS LÄN</t>
        </is>
      </c>
      <c r="G150" t="inlineStr">
        <is>
          <t>MELLERUD</t>
        </is>
      </c>
      <c r="I150" t="n">
        <v>1.5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54796-2022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44883</v>
      </c>
      <c r="E151" s="1" t="n">
        <v>46252</v>
      </c>
      <c r="F151" t="inlineStr">
        <is>
          <t>VÄSTRA GÖTALANDS LÄN</t>
        </is>
      </c>
      <c r="G151" t="inlineStr">
        <is>
          <t>MELLERUD</t>
        </is>
      </c>
      <c r="I151" t="n">
        <v>1.5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35605-2024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45531</v>
      </c>
      <c r="E152" s="1" t="n">
        <v>46252</v>
      </c>
      <c r="F152" t="inlineStr">
        <is>
          <t>VÄSTRA GÖTALANDS LÄN</t>
        </is>
      </c>
      <c r="G152" t="inlineStr">
        <is>
          <t>MELLERUD</t>
        </is>
      </c>
      <c r="I152" t="n">
        <v>1.4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53573-2023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45230</v>
      </c>
      <c r="E153" s="1" t="n">
        <v>46252</v>
      </c>
      <c r="F153" t="inlineStr">
        <is>
          <t>VÄSTRA GÖTALANDS LÄN</t>
        </is>
      </c>
      <c r="G153" t="inlineStr">
        <is>
          <t>MELLERUD</t>
        </is>
      </c>
      <c r="I153" t="n">
        <v>3.8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16656-2022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44672</v>
      </c>
      <c r="E154" s="1" t="n">
        <v>46252</v>
      </c>
      <c r="F154" t="inlineStr">
        <is>
          <t>VÄSTRA GÖTALANDS LÄN</t>
        </is>
      </c>
      <c r="G154" t="inlineStr">
        <is>
          <t>MELLERUD</t>
        </is>
      </c>
      <c r="I154" t="n">
        <v>1.2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59804-2025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45992</v>
      </c>
      <c r="E155" s="1" t="n">
        <v>46252</v>
      </c>
      <c r="F155" t="inlineStr">
        <is>
          <t>VÄSTRA GÖTALANDS LÄN</t>
        </is>
      </c>
      <c r="G155" t="inlineStr">
        <is>
          <t>MELLERUD</t>
        </is>
      </c>
      <c r="I155" t="n">
        <v>2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59802-2025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45992</v>
      </c>
      <c r="E156" s="1" t="n">
        <v>46252</v>
      </c>
      <c r="F156" t="inlineStr">
        <is>
          <t>VÄSTRA GÖTALANDS LÄN</t>
        </is>
      </c>
      <c r="G156" t="inlineStr">
        <is>
          <t>MELLERUD</t>
        </is>
      </c>
      <c r="I156" t="n">
        <v>0.8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59808-2025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45992</v>
      </c>
      <c r="E157" s="1" t="n">
        <v>46252</v>
      </c>
      <c r="F157" t="inlineStr">
        <is>
          <t>VÄSTRA GÖTALANDS LÄN</t>
        </is>
      </c>
      <c r="G157" t="inlineStr">
        <is>
          <t>MELLERUD</t>
        </is>
      </c>
      <c r="I157" t="n">
        <v>0.5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34116-2023</t>
        </is>
      </c>
      <c r="B158" t="inlineStr">
        <is>
          <t>avverkningsanmälan</t>
        </is>
      </c>
      <c r="C158" t="inlineStr">
        <is>
          <t>Avverkning för annat ändamål</t>
        </is>
      </c>
      <c r="D158" s="1" t="n">
        <v>45126</v>
      </c>
      <c r="E158" s="1" t="n">
        <v>46252</v>
      </c>
      <c r="F158" t="inlineStr">
        <is>
          <t>VÄSTRA GÖTALANDS LÄN</t>
        </is>
      </c>
      <c r="G158" t="inlineStr">
        <is>
          <t>MELLERUD</t>
        </is>
      </c>
      <c r="I158" t="n">
        <v>4.3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59806-2025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45992</v>
      </c>
      <c r="E159" s="1" t="n">
        <v>46252</v>
      </c>
      <c r="F159" t="inlineStr">
        <is>
          <t>VÄSTRA GÖTALANDS LÄN</t>
        </is>
      </c>
      <c r="G159" t="inlineStr">
        <is>
          <t>MELLERUD</t>
        </is>
      </c>
      <c r="I159" t="n">
        <v>0.5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60203-2025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45994</v>
      </c>
      <c r="E160" s="1" t="n">
        <v>46252</v>
      </c>
      <c r="F160" t="inlineStr">
        <is>
          <t>VÄSTRA GÖTALANDS LÄN</t>
        </is>
      </c>
      <c r="G160" t="inlineStr">
        <is>
          <t>MELLERUD</t>
        </is>
      </c>
      <c r="I160" t="n">
        <v>1.4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1883-2023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44939</v>
      </c>
      <c r="E161" s="1" t="n">
        <v>46252</v>
      </c>
      <c r="F161" t="inlineStr">
        <is>
          <t>VÄSTRA GÖTALANDS LÄN</t>
        </is>
      </c>
      <c r="G161" t="inlineStr">
        <is>
          <t>MELLERUD</t>
        </is>
      </c>
      <c r="I161" t="n">
        <v>1.4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1886-2023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44939</v>
      </c>
      <c r="E162" s="1" t="n">
        <v>46252</v>
      </c>
      <c r="F162" t="inlineStr">
        <is>
          <t>VÄSTRA GÖTALANDS LÄN</t>
        </is>
      </c>
      <c r="G162" t="inlineStr">
        <is>
          <t>MELLERUD</t>
        </is>
      </c>
      <c r="I162" t="n">
        <v>1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25109-2022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44729</v>
      </c>
      <c r="E163" s="1" t="n">
        <v>46252</v>
      </c>
      <c r="F163" t="inlineStr">
        <is>
          <t>VÄSTRA GÖTALANDS LÄN</t>
        </is>
      </c>
      <c r="G163" t="inlineStr">
        <is>
          <t>MELLERUD</t>
        </is>
      </c>
      <c r="I163" t="n">
        <v>0.8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61177-2025</t>
        </is>
      </c>
      <c r="B164" t="inlineStr">
        <is>
          <t>avverkningsanmälan</t>
        </is>
      </c>
      <c r="C164" t="inlineStr">
        <is>
          <t>Avverkning för att bevara och utveckla /försöksver</t>
        </is>
      </c>
      <c r="D164" s="1" t="n">
        <v>46000</v>
      </c>
      <c r="E164" s="1" t="n">
        <v>46252</v>
      </c>
      <c r="F164" t="inlineStr">
        <is>
          <t>VÄSTRA GÖTALANDS LÄN</t>
        </is>
      </c>
      <c r="G164" t="inlineStr">
        <is>
          <t>MELLERUD</t>
        </is>
      </c>
      <c r="I164" t="n">
        <v>0.9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61180-2025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46000</v>
      </c>
      <c r="E165" s="1" t="n">
        <v>46252</v>
      </c>
      <c r="F165" t="inlineStr">
        <is>
          <t>VÄSTRA GÖTALANDS LÄN</t>
        </is>
      </c>
      <c r="G165" t="inlineStr">
        <is>
          <t>MELLERUD</t>
        </is>
      </c>
      <c r="I165" t="n">
        <v>1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53307-2024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45614</v>
      </c>
      <c r="E166" s="1" t="n">
        <v>46252</v>
      </c>
      <c r="F166" t="inlineStr">
        <is>
          <t>VÄSTRA GÖTALANDS LÄN</t>
        </is>
      </c>
      <c r="G166" t="inlineStr">
        <is>
          <t>MELLERUD</t>
        </is>
      </c>
      <c r="I166" t="n">
        <v>2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39728-2023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45167</v>
      </c>
      <c r="E167" s="1" t="n">
        <v>46252</v>
      </c>
      <c r="F167" t="inlineStr">
        <is>
          <t>VÄSTRA GÖTALANDS LÄN</t>
        </is>
      </c>
      <c r="G167" t="inlineStr">
        <is>
          <t>MELLERUD</t>
        </is>
      </c>
      <c r="I167" t="n">
        <v>0.6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17543-2023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45036</v>
      </c>
      <c r="E168" s="1" t="n">
        <v>46252</v>
      </c>
      <c r="F168" t="inlineStr">
        <is>
          <t>VÄSTRA GÖTALANDS LÄN</t>
        </is>
      </c>
      <c r="G168" t="inlineStr">
        <is>
          <t>MELLERUD</t>
        </is>
      </c>
      <c r="I168" t="n">
        <v>1.8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27510-2023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45097</v>
      </c>
      <c r="E169" s="1" t="n">
        <v>46252</v>
      </c>
      <c r="F169" t="inlineStr">
        <is>
          <t>VÄSTRA GÖTALANDS LÄN</t>
        </is>
      </c>
      <c r="G169" t="inlineStr">
        <is>
          <t>MELLERUD</t>
        </is>
      </c>
      <c r="I169" t="n">
        <v>0.5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334-2023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44929</v>
      </c>
      <c r="E170" s="1" t="n">
        <v>46252</v>
      </c>
      <c r="F170" t="inlineStr">
        <is>
          <t>VÄSTRA GÖTALANDS LÄN</t>
        </is>
      </c>
      <c r="G170" t="inlineStr">
        <is>
          <t>MELLERUD</t>
        </is>
      </c>
      <c r="I170" t="n">
        <v>1.8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53254-2022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44876</v>
      </c>
      <c r="E171" s="1" t="n">
        <v>46252</v>
      </c>
      <c r="F171" t="inlineStr">
        <is>
          <t>VÄSTRA GÖTALANDS LÄN</t>
        </is>
      </c>
      <c r="G171" t="inlineStr">
        <is>
          <t>MELLERUD</t>
        </is>
      </c>
      <c r="I171" t="n">
        <v>1.8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63249-2025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46010</v>
      </c>
      <c r="E172" s="1" t="n">
        <v>46252</v>
      </c>
      <c r="F172" t="inlineStr">
        <is>
          <t>VÄSTRA GÖTALANDS LÄN</t>
        </is>
      </c>
      <c r="G172" t="inlineStr">
        <is>
          <t>MELLERUD</t>
        </is>
      </c>
      <c r="I172" t="n">
        <v>0.6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32299-2024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45512</v>
      </c>
      <c r="E173" s="1" t="n">
        <v>46252</v>
      </c>
      <c r="F173" t="inlineStr">
        <is>
          <t>VÄSTRA GÖTALANDS LÄN</t>
        </is>
      </c>
      <c r="G173" t="inlineStr">
        <is>
          <t>MELLERUD</t>
        </is>
      </c>
      <c r="I173" t="n">
        <v>3.1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1921-2025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45671</v>
      </c>
      <c r="E174" s="1" t="n">
        <v>46252</v>
      </c>
      <c r="F174" t="inlineStr">
        <is>
          <t>VÄSTRA GÖTALANDS LÄN</t>
        </is>
      </c>
      <c r="G174" t="inlineStr">
        <is>
          <t>MELLERUD</t>
        </is>
      </c>
      <c r="I174" t="n">
        <v>0.4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60996-2022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44914</v>
      </c>
      <c r="E175" s="1" t="n">
        <v>46252</v>
      </c>
      <c r="F175" t="inlineStr">
        <is>
          <t>VÄSTRA GÖTALANDS LÄN</t>
        </is>
      </c>
      <c r="G175" t="inlineStr">
        <is>
          <t>MELLERUD</t>
        </is>
      </c>
      <c r="I175" t="n">
        <v>0.7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46076-2021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44442</v>
      </c>
      <c r="E176" s="1" t="n">
        <v>46252</v>
      </c>
      <c r="F176" t="inlineStr">
        <is>
          <t>VÄSTRA GÖTALANDS LÄN</t>
        </is>
      </c>
      <c r="G176" t="inlineStr">
        <is>
          <t>MELLERUD</t>
        </is>
      </c>
      <c r="I176" t="n">
        <v>7.5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36138-2025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45866</v>
      </c>
      <c r="E177" s="1" t="n">
        <v>46252</v>
      </c>
      <c r="F177" t="inlineStr">
        <is>
          <t>VÄSTRA GÖTALANDS LÄN</t>
        </is>
      </c>
      <c r="G177" t="inlineStr">
        <is>
          <t>MELLERUD</t>
        </is>
      </c>
      <c r="I177" t="n">
        <v>1.6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1830-2026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46035</v>
      </c>
      <c r="E178" s="1" t="n">
        <v>46252</v>
      </c>
      <c r="F178" t="inlineStr">
        <is>
          <t>VÄSTRA GÖTALANDS LÄN</t>
        </is>
      </c>
      <c r="G178" t="inlineStr">
        <is>
          <t>MELLERUD</t>
        </is>
      </c>
      <c r="I178" t="n">
        <v>1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15323-2024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45400</v>
      </c>
      <c r="E179" s="1" t="n">
        <v>46252</v>
      </c>
      <c r="F179" t="inlineStr">
        <is>
          <t>VÄSTRA GÖTALANDS LÄN</t>
        </is>
      </c>
      <c r="G179" t="inlineStr">
        <is>
          <t>MELLERUD</t>
        </is>
      </c>
      <c r="I179" t="n">
        <v>10.6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1827-2026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46035</v>
      </c>
      <c r="E180" s="1" t="n">
        <v>46252</v>
      </c>
      <c r="F180" t="inlineStr">
        <is>
          <t>VÄSTRA GÖTALANDS LÄN</t>
        </is>
      </c>
      <c r="G180" t="inlineStr">
        <is>
          <t>MELLERUD</t>
        </is>
      </c>
      <c r="I180" t="n">
        <v>2.3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10398-2024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45365</v>
      </c>
      <c r="E181" s="1" t="n">
        <v>46252</v>
      </c>
      <c r="F181" t="inlineStr">
        <is>
          <t>VÄSTRA GÖTALANDS LÄN</t>
        </is>
      </c>
      <c r="G181" t="inlineStr">
        <is>
          <t>MELLERUD</t>
        </is>
      </c>
      <c r="I181" t="n">
        <v>1.8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25458-2026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46177</v>
      </c>
      <c r="E182" s="1" t="n">
        <v>46252</v>
      </c>
      <c r="F182" t="inlineStr">
        <is>
          <t>VÄSTRA GÖTALANDS LÄN</t>
        </is>
      </c>
      <c r="G182" t="inlineStr">
        <is>
          <t>MELLERUD</t>
        </is>
      </c>
      <c r="I182" t="n">
        <v>2.1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3178-2026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46041</v>
      </c>
      <c r="E183" s="1" t="n">
        <v>46252</v>
      </c>
      <c r="F183" t="inlineStr">
        <is>
          <t>VÄSTRA GÖTALANDS LÄN</t>
        </is>
      </c>
      <c r="G183" t="inlineStr">
        <is>
          <t>MELLERUD</t>
        </is>
      </c>
      <c r="I183" t="n">
        <v>0.8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3250-2026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46041</v>
      </c>
      <c r="E184" s="1" t="n">
        <v>46252</v>
      </c>
      <c r="F184" t="inlineStr">
        <is>
          <t>VÄSTRA GÖTALANDS LÄN</t>
        </is>
      </c>
      <c r="G184" t="inlineStr">
        <is>
          <t>MELLERUD</t>
        </is>
      </c>
      <c r="I184" t="n">
        <v>1.2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58861-2022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44903</v>
      </c>
      <c r="E185" s="1" t="n">
        <v>46252</v>
      </c>
      <c r="F185" t="inlineStr">
        <is>
          <t>VÄSTRA GÖTALANDS LÄN</t>
        </is>
      </c>
      <c r="G185" t="inlineStr">
        <is>
          <t>MELLERUD</t>
        </is>
      </c>
      <c r="I185" t="n">
        <v>4.8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11256-2025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45726</v>
      </c>
      <c r="E186" s="1" t="n">
        <v>46252</v>
      </c>
      <c r="F186" t="inlineStr">
        <is>
          <t>VÄSTRA GÖTALANDS LÄN</t>
        </is>
      </c>
      <c r="G186" t="inlineStr">
        <is>
          <t>MELLERUD</t>
        </is>
      </c>
      <c r="I186" t="n">
        <v>0.5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8923-2024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45356</v>
      </c>
      <c r="E187" s="1" t="n">
        <v>46252</v>
      </c>
      <c r="F187" t="inlineStr">
        <is>
          <t>VÄSTRA GÖTALANDS LÄN</t>
        </is>
      </c>
      <c r="G187" t="inlineStr">
        <is>
          <t>MELLERUD</t>
        </is>
      </c>
      <c r="I187" t="n">
        <v>3.2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32498-2024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45513</v>
      </c>
      <c r="E188" s="1" t="n">
        <v>46252</v>
      </c>
      <c r="F188" t="inlineStr">
        <is>
          <t>VÄSTRA GÖTALANDS LÄN</t>
        </is>
      </c>
      <c r="G188" t="inlineStr">
        <is>
          <t>MELLERUD</t>
        </is>
      </c>
      <c r="I188" t="n">
        <v>1.3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43353-2024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45568</v>
      </c>
      <c r="E189" s="1" t="n">
        <v>46252</v>
      </c>
      <c r="F189" t="inlineStr">
        <is>
          <t>VÄSTRA GÖTALANDS LÄN</t>
        </is>
      </c>
      <c r="G189" t="inlineStr">
        <is>
          <t>MELLERUD</t>
        </is>
      </c>
      <c r="I189" t="n">
        <v>1.2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39942-2023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45167</v>
      </c>
      <c r="E190" s="1" t="n">
        <v>46252</v>
      </c>
      <c r="F190" t="inlineStr">
        <is>
          <t>VÄSTRA GÖTALANDS LÄN</t>
        </is>
      </c>
      <c r="G190" t="inlineStr">
        <is>
          <t>MELLERUD</t>
        </is>
      </c>
      <c r="I190" t="n">
        <v>1.5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3201-2026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46041</v>
      </c>
      <c r="E191" s="1" t="n">
        <v>46252</v>
      </c>
      <c r="F191" t="inlineStr">
        <is>
          <t>VÄSTRA GÖTALANDS LÄN</t>
        </is>
      </c>
      <c r="G191" t="inlineStr">
        <is>
          <t>MELLERUD</t>
        </is>
      </c>
      <c r="I191" t="n">
        <v>3.2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51916-2022</t>
        </is>
      </c>
      <c r="B192" t="inlineStr">
        <is>
          <t>avverkningsanmälan</t>
        </is>
      </c>
      <c r="C192" t="inlineStr">
        <is>
          <t>Avverkning för annat ändamål</t>
        </is>
      </c>
      <c r="D192" s="1" t="n">
        <v>44868</v>
      </c>
      <c r="E192" s="1" t="n">
        <v>46252</v>
      </c>
      <c r="F192" t="inlineStr">
        <is>
          <t>VÄSTRA GÖTALANDS LÄN</t>
        </is>
      </c>
      <c r="G192" t="inlineStr">
        <is>
          <t>MELLERUD</t>
        </is>
      </c>
      <c r="I192" t="n">
        <v>4.5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3998-2025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45684</v>
      </c>
      <c r="E193" s="1" t="n">
        <v>46252</v>
      </c>
      <c r="F193" t="inlineStr">
        <is>
          <t>VÄSTRA GÖTALANDS LÄN</t>
        </is>
      </c>
      <c r="G193" t="inlineStr">
        <is>
          <t>MELLERUD</t>
        </is>
      </c>
      <c r="I193" t="n">
        <v>8.199999999999999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33666-2023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45132</v>
      </c>
      <c r="E194" s="1" t="n">
        <v>46252</v>
      </c>
      <c r="F194" t="inlineStr">
        <is>
          <t>VÄSTRA GÖTALANDS LÄN</t>
        </is>
      </c>
      <c r="G194" t="inlineStr">
        <is>
          <t>MELLERUD</t>
        </is>
      </c>
      <c r="I194" t="n">
        <v>0.4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5324-2026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46050</v>
      </c>
      <c r="E195" s="1" t="n">
        <v>46252</v>
      </c>
      <c r="F195" t="inlineStr">
        <is>
          <t>VÄSTRA GÖTALANDS LÄN</t>
        </is>
      </c>
      <c r="G195" t="inlineStr">
        <is>
          <t>MELLERUD</t>
        </is>
      </c>
      <c r="I195" t="n">
        <v>0.5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51785-2023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45222</v>
      </c>
      <c r="E196" s="1" t="n">
        <v>46252</v>
      </c>
      <c r="F196" t="inlineStr">
        <is>
          <t>VÄSTRA GÖTALANDS LÄN</t>
        </is>
      </c>
      <c r="G196" t="inlineStr">
        <is>
          <t>MELLERUD</t>
        </is>
      </c>
      <c r="I196" t="n">
        <v>3.1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25954-2026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46181</v>
      </c>
      <c r="E197" s="1" t="n">
        <v>46252</v>
      </c>
      <c r="F197" t="inlineStr">
        <is>
          <t>VÄSTRA GÖTALANDS LÄN</t>
        </is>
      </c>
      <c r="G197" t="inlineStr">
        <is>
          <t>MELLERUD</t>
        </is>
      </c>
      <c r="I197" t="n">
        <v>1.5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26536-2026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46183</v>
      </c>
      <c r="E198" s="1" t="n">
        <v>46252</v>
      </c>
      <c r="F198" t="inlineStr">
        <is>
          <t>VÄSTRA GÖTALANDS LÄN</t>
        </is>
      </c>
      <c r="G198" t="inlineStr">
        <is>
          <t>MELLERUD</t>
        </is>
      </c>
      <c r="H198" t="inlineStr">
        <is>
          <t>Kommuner</t>
        </is>
      </c>
      <c r="I198" t="n">
        <v>0.6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26533-2026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46183</v>
      </c>
      <c r="E199" s="1" t="n">
        <v>46252</v>
      </c>
      <c r="F199" t="inlineStr">
        <is>
          <t>VÄSTRA GÖTALANDS LÄN</t>
        </is>
      </c>
      <c r="G199" t="inlineStr">
        <is>
          <t>MELLERUD</t>
        </is>
      </c>
      <c r="I199" t="n">
        <v>0.6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7047-2026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46057</v>
      </c>
      <c r="E200" s="1" t="n">
        <v>46252</v>
      </c>
      <c r="F200" t="inlineStr">
        <is>
          <t>VÄSTRA GÖTALANDS LÄN</t>
        </is>
      </c>
      <c r="G200" t="inlineStr">
        <is>
          <t>MELLERUD</t>
        </is>
      </c>
      <c r="I200" t="n">
        <v>1.7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26518-2026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46183</v>
      </c>
      <c r="E201" s="1" t="n">
        <v>46252</v>
      </c>
      <c r="F201" t="inlineStr">
        <is>
          <t>VÄSTRA GÖTALANDS LÄN</t>
        </is>
      </c>
      <c r="G201" t="inlineStr">
        <is>
          <t>MELLERUD</t>
        </is>
      </c>
      <c r="H201" t="inlineStr">
        <is>
          <t>Kommuner</t>
        </is>
      </c>
      <c r="I201" t="n">
        <v>0.4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26527-2026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46183</v>
      </c>
      <c r="E202" s="1" t="n">
        <v>46252</v>
      </c>
      <c r="F202" t="inlineStr">
        <is>
          <t>VÄSTRA GÖTALANDS LÄN</t>
        </is>
      </c>
      <c r="G202" t="inlineStr">
        <is>
          <t>MELLERUD</t>
        </is>
      </c>
      <c r="H202" t="inlineStr">
        <is>
          <t>Kommuner</t>
        </is>
      </c>
      <c r="I202" t="n">
        <v>1.3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7125-2026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46058</v>
      </c>
      <c r="E203" s="1" t="n">
        <v>46252</v>
      </c>
      <c r="F203" t="inlineStr">
        <is>
          <t>VÄSTRA GÖTALANDS LÄN</t>
        </is>
      </c>
      <c r="G203" t="inlineStr">
        <is>
          <t>MELLERUD</t>
        </is>
      </c>
      <c r="I203" t="n">
        <v>0.9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7120-2026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46058</v>
      </c>
      <c r="E204" s="1" t="n">
        <v>46252</v>
      </c>
      <c r="F204" t="inlineStr">
        <is>
          <t>VÄSTRA GÖTALANDS LÄN</t>
        </is>
      </c>
      <c r="G204" t="inlineStr">
        <is>
          <t>MELLERUD</t>
        </is>
      </c>
      <c r="I204" t="n">
        <v>0.8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7117-2026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46058</v>
      </c>
      <c r="E205" s="1" t="n">
        <v>46252</v>
      </c>
      <c r="F205" t="inlineStr">
        <is>
          <t>VÄSTRA GÖTALANDS LÄN</t>
        </is>
      </c>
      <c r="G205" t="inlineStr">
        <is>
          <t>MELLERUD</t>
        </is>
      </c>
      <c r="I205" t="n">
        <v>0.8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8160-2026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46064</v>
      </c>
      <c r="E206" s="1" t="n">
        <v>46252</v>
      </c>
      <c r="F206" t="inlineStr">
        <is>
          <t>VÄSTRA GÖTALANDS LÄN</t>
        </is>
      </c>
      <c r="G206" t="inlineStr">
        <is>
          <t>MELLERUD</t>
        </is>
      </c>
      <c r="I206" t="n">
        <v>2.7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9573-2026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46071</v>
      </c>
      <c r="E207" s="1" t="n">
        <v>46252</v>
      </c>
      <c r="F207" t="inlineStr">
        <is>
          <t>VÄSTRA GÖTALANDS LÄN</t>
        </is>
      </c>
      <c r="G207" t="inlineStr">
        <is>
          <t>MELLERUD</t>
        </is>
      </c>
      <c r="I207" t="n">
        <v>5.2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33092-2023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45126</v>
      </c>
      <c r="E208" s="1" t="n">
        <v>46252</v>
      </c>
      <c r="F208" t="inlineStr">
        <is>
          <t>VÄSTRA GÖTALANDS LÄN</t>
        </is>
      </c>
      <c r="G208" t="inlineStr">
        <is>
          <t>MELLERUD</t>
        </is>
      </c>
      <c r="I208" t="n">
        <v>2.9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55391-2023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45238</v>
      </c>
      <c r="E209" s="1" t="n">
        <v>46252</v>
      </c>
      <c r="F209" t="inlineStr">
        <is>
          <t>VÄSTRA GÖTALANDS LÄN</t>
        </is>
      </c>
      <c r="G209" t="inlineStr">
        <is>
          <t>MELLERUD</t>
        </is>
      </c>
      <c r="I209" t="n">
        <v>0.7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11249-2026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46080</v>
      </c>
      <c r="E210" s="1" t="n">
        <v>46252</v>
      </c>
      <c r="F210" t="inlineStr">
        <is>
          <t>VÄSTRA GÖTALANDS LÄN</t>
        </is>
      </c>
      <c r="G210" t="inlineStr">
        <is>
          <t>MELLERUD</t>
        </is>
      </c>
      <c r="I210" t="n">
        <v>4.8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11073-2026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46079</v>
      </c>
      <c r="E211" s="1" t="n">
        <v>46252</v>
      </c>
      <c r="F211" t="inlineStr">
        <is>
          <t>VÄSTRA GÖTALANDS LÄN</t>
        </is>
      </c>
      <c r="G211" t="inlineStr">
        <is>
          <t>MELLERUD</t>
        </is>
      </c>
      <c r="I211" t="n">
        <v>2.8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11121-2026</t>
        </is>
      </c>
      <c r="B212" t="inlineStr">
        <is>
          <t>avverkningsanmälan</t>
        </is>
      </c>
      <c r="C212" t="inlineStr">
        <is>
          <t>Avverkning för annat ändamål</t>
        </is>
      </c>
      <c r="D212" s="1" t="n">
        <v>46079</v>
      </c>
      <c r="E212" s="1" t="n">
        <v>46252</v>
      </c>
      <c r="F212" t="inlineStr">
        <is>
          <t>VÄSTRA GÖTALANDS LÄN</t>
        </is>
      </c>
      <c r="G212" t="inlineStr">
        <is>
          <t>MELLERUD</t>
        </is>
      </c>
      <c r="I212" t="n">
        <v>1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11323-2026</t>
        </is>
      </c>
      <c r="B213" t="inlineStr">
        <is>
          <t>avverkningsanmälan</t>
        </is>
      </c>
      <c r="C213" t="inlineStr">
        <is>
          <t>Avverkning för annat ändamål</t>
        </is>
      </c>
      <c r="D213" s="1" t="n">
        <v>46080</v>
      </c>
      <c r="E213" s="1" t="n">
        <v>46252</v>
      </c>
      <c r="F213" t="inlineStr">
        <is>
          <t>VÄSTRA GÖTALANDS LÄN</t>
        </is>
      </c>
      <c r="G213" t="inlineStr">
        <is>
          <t>MELLERUD</t>
        </is>
      </c>
      <c r="I213" t="n">
        <v>7.3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15971-2023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45022</v>
      </c>
      <c r="E214" s="1" t="n">
        <v>46252</v>
      </c>
      <c r="F214" t="inlineStr">
        <is>
          <t>VÄSTRA GÖTALANDS LÄN</t>
        </is>
      </c>
      <c r="G214" t="inlineStr">
        <is>
          <t>MELLERUD</t>
        </is>
      </c>
      <c r="I214" t="n">
        <v>1.5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53317-2024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45614</v>
      </c>
      <c r="E215" s="1" t="n">
        <v>46252</v>
      </c>
      <c r="F215" t="inlineStr">
        <is>
          <t>VÄSTRA GÖTALANDS LÄN</t>
        </is>
      </c>
      <c r="G215" t="inlineStr">
        <is>
          <t>MELLERUD</t>
        </is>
      </c>
      <c r="I215" t="n">
        <v>0.3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31836-2026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46230</v>
      </c>
      <c r="E216" s="1" t="n">
        <v>46252</v>
      </c>
      <c r="F216" t="inlineStr">
        <is>
          <t>VÄSTRA GÖTALANDS LÄN</t>
        </is>
      </c>
      <c r="G216" t="inlineStr">
        <is>
          <t>MELLERUD</t>
        </is>
      </c>
      <c r="I216" t="n">
        <v>0.7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31889-2026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46231</v>
      </c>
      <c r="E217" s="1" t="n">
        <v>46252</v>
      </c>
      <c r="F217" t="inlineStr">
        <is>
          <t>VÄSTRA GÖTALANDS LÄN</t>
        </is>
      </c>
      <c r="G217" t="inlineStr">
        <is>
          <t>MELLERUD</t>
        </is>
      </c>
      <c r="I217" t="n">
        <v>2.7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13594-2026</t>
        </is>
      </c>
      <c r="B218" t="inlineStr">
        <is>
          <t>avverkningsanmälan</t>
        </is>
      </c>
      <c r="C218" t="inlineStr">
        <is>
          <t>Avverkning för annat ändamål</t>
        </is>
      </c>
      <c r="D218" s="1" t="n">
        <v>46096</v>
      </c>
      <c r="E218" s="1" t="n">
        <v>46252</v>
      </c>
      <c r="F218" t="inlineStr">
        <is>
          <t>VÄSTRA GÖTALANDS LÄN</t>
        </is>
      </c>
      <c r="G218" t="inlineStr">
        <is>
          <t>MELLERUD</t>
        </is>
      </c>
      <c r="I218" t="n">
        <v>0.9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73351-2021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44551</v>
      </c>
      <c r="E219" s="1" t="n">
        <v>46252</v>
      </c>
      <c r="F219" t="inlineStr">
        <is>
          <t>VÄSTRA GÖTALANDS LÄN</t>
        </is>
      </c>
      <c r="G219" t="inlineStr">
        <is>
          <t>MELLERUD</t>
        </is>
      </c>
      <c r="I219" t="n">
        <v>6.1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26428-2022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44736</v>
      </c>
      <c r="E220" s="1" t="n">
        <v>46252</v>
      </c>
      <c r="F220" t="inlineStr">
        <is>
          <t>VÄSTRA GÖTALANDS LÄN</t>
        </is>
      </c>
      <c r="G220" t="inlineStr">
        <is>
          <t>MELLERUD</t>
        </is>
      </c>
      <c r="I220" t="n">
        <v>0.4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21618-2024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45442</v>
      </c>
      <c r="E221" s="1" t="n">
        <v>46252</v>
      </c>
      <c r="F221" t="inlineStr">
        <is>
          <t>VÄSTRA GÖTALANDS LÄN</t>
        </is>
      </c>
      <c r="G221" t="inlineStr">
        <is>
          <t>MELLERUD</t>
        </is>
      </c>
      <c r="I221" t="n">
        <v>1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21620-2024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45442</v>
      </c>
      <c r="E222" s="1" t="n">
        <v>46252</v>
      </c>
      <c r="F222" t="inlineStr">
        <is>
          <t>VÄSTRA GÖTALANDS LÄN</t>
        </is>
      </c>
      <c r="G222" t="inlineStr">
        <is>
          <t>MELLERUD</t>
        </is>
      </c>
      <c r="I222" t="n">
        <v>1.1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26530-2023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45092</v>
      </c>
      <c r="E223" s="1" t="n">
        <v>46252</v>
      </c>
      <c r="F223" t="inlineStr">
        <is>
          <t>VÄSTRA GÖTALANDS LÄN</t>
        </is>
      </c>
      <c r="G223" t="inlineStr">
        <is>
          <t>MELLERUD</t>
        </is>
      </c>
      <c r="I223" t="n">
        <v>2.5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32520-2026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46239</v>
      </c>
      <c r="E224" s="1" t="n">
        <v>46252</v>
      </c>
      <c r="F224" t="inlineStr">
        <is>
          <t>VÄSTRA GÖTALANDS LÄN</t>
        </is>
      </c>
      <c r="G224" t="inlineStr">
        <is>
          <t>MELLERUD</t>
        </is>
      </c>
      <c r="I224" t="n">
        <v>3.6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18055-2026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46125</v>
      </c>
      <c r="E225" s="1" t="n">
        <v>46252</v>
      </c>
      <c r="F225" t="inlineStr">
        <is>
          <t>VÄSTRA GÖTALANDS LÄN</t>
        </is>
      </c>
      <c r="G225" t="inlineStr">
        <is>
          <t>MELLERUD</t>
        </is>
      </c>
      <c r="I225" t="n">
        <v>5.2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18854-2023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45042</v>
      </c>
      <c r="E226" s="1" t="n">
        <v>46252</v>
      </c>
      <c r="F226" t="inlineStr">
        <is>
          <t>VÄSTRA GÖTALANDS LÄN</t>
        </is>
      </c>
      <c r="G226" t="inlineStr">
        <is>
          <t>MELLERUD</t>
        </is>
      </c>
      <c r="I226" t="n">
        <v>3.3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14568-2022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44655</v>
      </c>
      <c r="E227" s="1" t="n">
        <v>46252</v>
      </c>
      <c r="F227" t="inlineStr">
        <is>
          <t>VÄSTRA GÖTALANDS LÄN</t>
        </is>
      </c>
      <c r="G227" t="inlineStr">
        <is>
          <t>MELLERUD</t>
        </is>
      </c>
      <c r="I227" t="n">
        <v>1.5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61811-2023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45264</v>
      </c>
      <c r="E228" s="1" t="n">
        <v>46252</v>
      </c>
      <c r="F228" t="inlineStr">
        <is>
          <t>VÄSTRA GÖTALANDS LÄN</t>
        </is>
      </c>
      <c r="G228" t="inlineStr">
        <is>
          <t>MELLERUD</t>
        </is>
      </c>
      <c r="H228" t="inlineStr">
        <is>
          <t>Övriga Aktiebolag</t>
        </is>
      </c>
      <c r="I228" t="n">
        <v>7.9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32691-2026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46240</v>
      </c>
      <c r="E229" s="1" t="n">
        <v>46252</v>
      </c>
      <c r="F229" t="inlineStr">
        <is>
          <t>VÄSTRA GÖTALANDS LÄN</t>
        </is>
      </c>
      <c r="G229" t="inlineStr">
        <is>
          <t>MELLERUD</t>
        </is>
      </c>
      <c r="I229" t="n">
        <v>1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24312-2025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45797</v>
      </c>
      <c r="E230" s="1" t="n">
        <v>46252</v>
      </c>
      <c r="F230" t="inlineStr">
        <is>
          <t>VÄSTRA GÖTALANDS LÄN</t>
        </is>
      </c>
      <c r="G230" t="inlineStr">
        <is>
          <t>MELLERUD</t>
        </is>
      </c>
      <c r="I230" t="n">
        <v>1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493-2025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45664</v>
      </c>
      <c r="E231" s="1" t="n">
        <v>46252</v>
      </c>
      <c r="F231" t="inlineStr">
        <is>
          <t>VÄSTRA GÖTALANDS LÄN</t>
        </is>
      </c>
      <c r="G231" t="inlineStr">
        <is>
          <t>MELLERUD</t>
        </is>
      </c>
      <c r="I231" t="n">
        <v>3.9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35603-2024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45531</v>
      </c>
      <c r="E232" s="1" t="n">
        <v>46252</v>
      </c>
      <c r="F232" t="inlineStr">
        <is>
          <t>VÄSTRA GÖTALANDS LÄN</t>
        </is>
      </c>
      <c r="G232" t="inlineStr">
        <is>
          <t>MELLERUD</t>
        </is>
      </c>
      <c r="I232" t="n">
        <v>1.7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36146-2025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45866</v>
      </c>
      <c r="E233" s="1" t="n">
        <v>46252</v>
      </c>
      <c r="F233" t="inlineStr">
        <is>
          <t>VÄSTRA GÖTALANDS LÄN</t>
        </is>
      </c>
      <c r="G233" t="inlineStr">
        <is>
          <t>MELLERUD</t>
        </is>
      </c>
      <c r="I233" t="n">
        <v>1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25399-2023</t>
        </is>
      </c>
      <c r="B234" t="inlineStr">
        <is>
          <t>avverkningsanmälan</t>
        </is>
      </c>
      <c r="C234" t="inlineStr">
        <is>
          <t>Avverkning för annat ändamål</t>
        </is>
      </c>
      <c r="D234" s="1" t="n">
        <v>45089</v>
      </c>
      <c r="E234" s="1" t="n">
        <v>46252</v>
      </c>
      <c r="F234" t="inlineStr">
        <is>
          <t>VÄSTRA GÖTALANDS LÄN</t>
        </is>
      </c>
      <c r="G234" t="inlineStr">
        <is>
          <t>MELLERUD</t>
        </is>
      </c>
      <c r="I234" t="n">
        <v>1.9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23238-2024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45453</v>
      </c>
      <c r="E235" s="1" t="n">
        <v>46252</v>
      </c>
      <c r="F235" t="inlineStr">
        <is>
          <t>VÄSTRA GÖTALANDS LÄN</t>
        </is>
      </c>
      <c r="G235" t="inlineStr">
        <is>
          <t>MELLERUD</t>
        </is>
      </c>
      <c r="I235" t="n">
        <v>1.7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49449-2025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45938</v>
      </c>
      <c r="E236" s="1" t="n">
        <v>46252</v>
      </c>
      <c r="F236" t="inlineStr">
        <is>
          <t>VÄSTRA GÖTALANDS LÄN</t>
        </is>
      </c>
      <c r="G236" t="inlineStr">
        <is>
          <t>MELLERUD</t>
        </is>
      </c>
      <c r="I236" t="n">
        <v>2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33141-2026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46244</v>
      </c>
      <c r="E237" s="1" t="n">
        <v>46252</v>
      </c>
      <c r="F237" t="inlineStr">
        <is>
          <t>VÄSTRA GÖTALANDS LÄN</t>
        </is>
      </c>
      <c r="G237" t="inlineStr">
        <is>
          <t>MELLERUD</t>
        </is>
      </c>
      <c r="H237" t="inlineStr">
        <is>
          <t>Övriga Aktiebolag</t>
        </is>
      </c>
      <c r="I237" t="n">
        <v>5.9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53270-2024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45614</v>
      </c>
      <c r="E238" s="1" t="n">
        <v>46252</v>
      </c>
      <c r="F238" t="inlineStr">
        <is>
          <t>VÄSTRA GÖTALANDS LÄN</t>
        </is>
      </c>
      <c r="G238" t="inlineStr">
        <is>
          <t>MELLERUD</t>
        </is>
      </c>
      <c r="I238" t="n">
        <v>0.9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17538-2023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45036</v>
      </c>
      <c r="E239" s="1" t="n">
        <v>46252</v>
      </c>
      <c r="F239" t="inlineStr">
        <is>
          <t>VÄSTRA GÖTALANDS LÄN</t>
        </is>
      </c>
      <c r="G239" t="inlineStr">
        <is>
          <t>MELLERUD</t>
        </is>
      </c>
      <c r="I239" t="n">
        <v>2.3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33450-2026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46246</v>
      </c>
      <c r="E240" s="1" t="n">
        <v>46252</v>
      </c>
      <c r="F240" t="inlineStr">
        <is>
          <t>VÄSTRA GÖTALANDS LÄN</t>
        </is>
      </c>
      <c r="G240" t="inlineStr">
        <is>
          <t>MELLERUD</t>
        </is>
      </c>
      <c r="I240" t="n">
        <v>2.2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45060-2021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44439</v>
      </c>
      <c r="E241" s="1" t="n">
        <v>46252</v>
      </c>
      <c r="F241" t="inlineStr">
        <is>
          <t>VÄSTRA GÖTALANDS LÄN</t>
        </is>
      </c>
      <c r="G241" t="inlineStr">
        <is>
          <t>MELLERUD</t>
        </is>
      </c>
      <c r="I241" t="n">
        <v>1.9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19545-2024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45429</v>
      </c>
      <c r="E242" s="1" t="n">
        <v>46252</v>
      </c>
      <c r="F242" t="inlineStr">
        <is>
          <t>VÄSTRA GÖTALANDS LÄN</t>
        </is>
      </c>
      <c r="G242" t="inlineStr">
        <is>
          <t>MELLERUD</t>
        </is>
      </c>
      <c r="I242" t="n">
        <v>0.7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53565-2022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44879</v>
      </c>
      <c r="E243" s="1" t="n">
        <v>46252</v>
      </c>
      <c r="F243" t="inlineStr">
        <is>
          <t>VÄSTRA GÖTALANDS LÄN</t>
        </is>
      </c>
      <c r="G243" t="inlineStr">
        <is>
          <t>MELLERUD</t>
        </is>
      </c>
      <c r="I243" t="n">
        <v>1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59723-2025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45992</v>
      </c>
      <c r="E244" s="1" t="n">
        <v>46252</v>
      </c>
      <c r="F244" t="inlineStr">
        <is>
          <t>VÄSTRA GÖTALANDS LÄN</t>
        </is>
      </c>
      <c r="G244" t="inlineStr">
        <is>
          <t>MELLERUD</t>
        </is>
      </c>
      <c r="I244" t="n">
        <v>12.3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50441-2023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45216</v>
      </c>
      <c r="E245" s="1" t="n">
        <v>46252</v>
      </c>
      <c r="F245" t="inlineStr">
        <is>
          <t>VÄSTRA GÖTALANDS LÄN</t>
        </is>
      </c>
      <c r="G245" t="inlineStr">
        <is>
          <t>MELLERUD</t>
        </is>
      </c>
      <c r="I245" t="n">
        <v>2.7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20573-2026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46140</v>
      </c>
      <c r="E246" s="1" t="n">
        <v>46252</v>
      </c>
      <c r="F246" t="inlineStr">
        <is>
          <t>VÄSTRA GÖTALANDS LÄN</t>
        </is>
      </c>
      <c r="G246" t="inlineStr">
        <is>
          <t>MELLERUD</t>
        </is>
      </c>
      <c r="H246" t="inlineStr">
        <is>
          <t>Kommuner</t>
        </is>
      </c>
      <c r="I246" t="n">
        <v>1.9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10401-2024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45365</v>
      </c>
      <c r="E247" s="1" t="n">
        <v>46252</v>
      </c>
      <c r="F247" t="inlineStr">
        <is>
          <t>VÄSTRA GÖTALANDS LÄN</t>
        </is>
      </c>
      <c r="G247" t="inlineStr">
        <is>
          <t>MELLERUD</t>
        </is>
      </c>
      <c r="I247" t="n">
        <v>7.6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20578-2026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46140</v>
      </c>
      <c r="E248" s="1" t="n">
        <v>46252</v>
      </c>
      <c r="F248" t="inlineStr">
        <is>
          <t>VÄSTRA GÖTALANDS LÄN</t>
        </is>
      </c>
      <c r="G248" t="inlineStr">
        <is>
          <t>MELLERUD</t>
        </is>
      </c>
      <c r="H248" t="inlineStr">
        <is>
          <t>Kommuner</t>
        </is>
      </c>
      <c r="I248" t="n">
        <v>1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28865-2025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45820</v>
      </c>
      <c r="E249" s="1" t="n">
        <v>46252</v>
      </c>
      <c r="F249" t="inlineStr">
        <is>
          <t>VÄSTRA GÖTALANDS LÄN</t>
        </is>
      </c>
      <c r="G249" t="inlineStr">
        <is>
          <t>MELLERUD</t>
        </is>
      </c>
      <c r="I249" t="n">
        <v>2.1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20781-2026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46141</v>
      </c>
      <c r="E250" s="1" t="n">
        <v>46252</v>
      </c>
      <c r="F250" t="inlineStr">
        <is>
          <t>VÄSTRA GÖTALANDS LÄN</t>
        </is>
      </c>
      <c r="G250" t="inlineStr">
        <is>
          <t>MELLERUD</t>
        </is>
      </c>
      <c r="H250" t="inlineStr">
        <is>
          <t>Övriga Aktiebolag</t>
        </is>
      </c>
      <c r="I250" t="n">
        <v>2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29936-2026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46205</v>
      </c>
      <c r="E251" s="1" t="n">
        <v>46252</v>
      </c>
      <c r="F251" t="inlineStr">
        <is>
          <t>VÄSTRA GÖTALANDS LÄN</t>
        </is>
      </c>
      <c r="G251" t="inlineStr">
        <is>
          <t>MELLERUD</t>
        </is>
      </c>
      <c r="I251" t="n">
        <v>1.6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21432-2026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46148</v>
      </c>
      <c r="E252" s="1" t="n">
        <v>46252</v>
      </c>
      <c r="F252" t="inlineStr">
        <is>
          <t>VÄSTRA GÖTALANDS LÄN</t>
        </is>
      </c>
      <c r="G252" t="inlineStr">
        <is>
          <t>MELLERUD</t>
        </is>
      </c>
      <c r="I252" t="n">
        <v>4.3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21689-2025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45783</v>
      </c>
      <c r="E253" s="1" t="n">
        <v>46252</v>
      </c>
      <c r="F253" t="inlineStr">
        <is>
          <t>VÄSTRA GÖTALANDS LÄN</t>
        </is>
      </c>
      <c r="G253" t="inlineStr">
        <is>
          <t>MELLERUD</t>
        </is>
      </c>
      <c r="I253" t="n">
        <v>1.5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21678-2025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45783</v>
      </c>
      <c r="E254" s="1" t="n">
        <v>46252</v>
      </c>
      <c r="F254" t="inlineStr">
        <is>
          <t>VÄSTRA GÖTALANDS LÄN</t>
        </is>
      </c>
      <c r="G254" t="inlineStr">
        <is>
          <t>MELLERUD</t>
        </is>
      </c>
      <c r="I254" t="n">
        <v>1.6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21977-2026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46153</v>
      </c>
      <c r="E255" s="1" t="n">
        <v>46252</v>
      </c>
      <c r="F255" t="inlineStr">
        <is>
          <t>VÄSTRA GÖTALANDS LÄN</t>
        </is>
      </c>
      <c r="G255" t="inlineStr">
        <is>
          <t>MELLERUD</t>
        </is>
      </c>
      <c r="I255" t="n">
        <v>1.5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21698-2025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45783</v>
      </c>
      <c r="E256" s="1" t="n">
        <v>46252</v>
      </c>
      <c r="F256" t="inlineStr">
        <is>
          <t>VÄSTRA GÖTALANDS LÄN</t>
        </is>
      </c>
      <c r="G256" t="inlineStr">
        <is>
          <t>MELLERUD</t>
        </is>
      </c>
      <c r="I256" t="n">
        <v>0.5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22364-2026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46154</v>
      </c>
      <c r="E257" s="1" t="n">
        <v>46252</v>
      </c>
      <c r="F257" t="inlineStr">
        <is>
          <t>VÄSTRA GÖTALANDS LÄN</t>
        </is>
      </c>
      <c r="G257" t="inlineStr">
        <is>
          <t>MELLERUD</t>
        </is>
      </c>
      <c r="I257" t="n">
        <v>2.8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13313-2024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45386</v>
      </c>
      <c r="E258" s="1" t="n">
        <v>46252</v>
      </c>
      <c r="F258" t="inlineStr">
        <is>
          <t>VÄSTRA GÖTALANDS LÄN</t>
        </is>
      </c>
      <c r="G258" t="inlineStr">
        <is>
          <t>MELLERUD</t>
        </is>
      </c>
      <c r="I258" t="n">
        <v>2.1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29939-2026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46205</v>
      </c>
      <c r="E259" s="1" t="n">
        <v>46252</v>
      </c>
      <c r="F259" t="inlineStr">
        <is>
          <t>VÄSTRA GÖTALANDS LÄN</t>
        </is>
      </c>
      <c r="G259" t="inlineStr">
        <is>
          <t>MELLERUD</t>
        </is>
      </c>
      <c r="I259" t="n">
        <v>3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27342-2024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45473</v>
      </c>
      <c r="E260" s="1" t="n">
        <v>46252</v>
      </c>
      <c r="F260" t="inlineStr">
        <is>
          <t>VÄSTRA GÖTALANDS LÄN</t>
        </is>
      </c>
      <c r="G260" t="inlineStr">
        <is>
          <t>MELLERUD</t>
        </is>
      </c>
      <c r="I260" t="n">
        <v>2.4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22337-2026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46154</v>
      </c>
      <c r="E261" s="1" t="n">
        <v>46252</v>
      </c>
      <c r="F261" t="inlineStr">
        <is>
          <t>VÄSTRA GÖTALANDS LÄN</t>
        </is>
      </c>
      <c r="G261" t="inlineStr">
        <is>
          <t>MELLERUD</t>
        </is>
      </c>
      <c r="I261" t="n">
        <v>0.7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16746-2023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45030</v>
      </c>
      <c r="E262" s="1" t="n">
        <v>46252</v>
      </c>
      <c r="F262" t="inlineStr">
        <is>
          <t>VÄSTRA GÖTALANDS LÄN</t>
        </is>
      </c>
      <c r="G262" t="inlineStr">
        <is>
          <t>MELLERUD</t>
        </is>
      </c>
      <c r="I262" t="n">
        <v>1.2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1369-2025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45667</v>
      </c>
      <c r="E263" s="1" t="n">
        <v>46252</v>
      </c>
      <c r="F263" t="inlineStr">
        <is>
          <t>VÄSTRA GÖTALANDS LÄN</t>
        </is>
      </c>
      <c r="G263" t="inlineStr">
        <is>
          <t>MELLERUD</t>
        </is>
      </c>
      <c r="I263" t="n">
        <v>1.9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10100-2025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45719</v>
      </c>
      <c r="E264" s="1" t="n">
        <v>46252</v>
      </c>
      <c r="F264" t="inlineStr">
        <is>
          <t>VÄSTRA GÖTALANDS LÄN</t>
        </is>
      </c>
      <c r="G264" t="inlineStr">
        <is>
          <t>MELLERUD</t>
        </is>
      </c>
      <c r="I264" t="n">
        <v>1.2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8667-2025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45712</v>
      </c>
      <c r="E265" s="1" t="n">
        <v>46252</v>
      </c>
      <c r="F265" t="inlineStr">
        <is>
          <t>VÄSTRA GÖTALANDS LÄN</t>
        </is>
      </c>
      <c r="G265" t="inlineStr">
        <is>
          <t>MELLERUD</t>
        </is>
      </c>
      <c r="I265" t="n">
        <v>3.1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32832-2024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45516</v>
      </c>
      <c r="E266" s="1" t="n">
        <v>46252</v>
      </c>
      <c r="F266" t="inlineStr">
        <is>
          <t>VÄSTRA GÖTALANDS LÄN</t>
        </is>
      </c>
      <c r="G266" t="inlineStr">
        <is>
          <t>MELLERUD</t>
        </is>
      </c>
      <c r="I266" t="n">
        <v>1.8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10357-2025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45720</v>
      </c>
      <c r="E267" s="1" t="n">
        <v>46252</v>
      </c>
      <c r="F267" t="inlineStr">
        <is>
          <t>VÄSTRA GÖTALANDS LÄN</t>
        </is>
      </c>
      <c r="G267" t="inlineStr">
        <is>
          <t>MELLERUD</t>
        </is>
      </c>
      <c r="I267" t="n">
        <v>0.9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10358-2025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45720</v>
      </c>
      <c r="E268" s="1" t="n">
        <v>46252</v>
      </c>
      <c r="F268" t="inlineStr">
        <is>
          <t>VÄSTRA GÖTALANDS LÄN</t>
        </is>
      </c>
      <c r="G268" t="inlineStr">
        <is>
          <t>MELLERUD</t>
        </is>
      </c>
      <c r="I268" t="n">
        <v>0.7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60993-2022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44914</v>
      </c>
      <c r="E269" s="1" t="n">
        <v>46252</v>
      </c>
      <c r="F269" t="inlineStr">
        <is>
          <t>VÄSTRA GÖTALANDS LÄN</t>
        </is>
      </c>
      <c r="G269" t="inlineStr">
        <is>
          <t>MELLERUD</t>
        </is>
      </c>
      <c r="I269" t="n">
        <v>0.6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10097-2025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45719</v>
      </c>
      <c r="E270" s="1" t="n">
        <v>46252</v>
      </c>
      <c r="F270" t="inlineStr">
        <is>
          <t>VÄSTRA GÖTALANDS LÄN</t>
        </is>
      </c>
      <c r="G270" t="inlineStr">
        <is>
          <t>MELLERUD</t>
        </is>
      </c>
      <c r="I270" t="n">
        <v>2.6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11213-2025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45726</v>
      </c>
      <c r="E271" s="1" t="n">
        <v>46252</v>
      </c>
      <c r="F271" t="inlineStr">
        <is>
          <t>VÄSTRA GÖTALANDS LÄN</t>
        </is>
      </c>
      <c r="G271" t="inlineStr">
        <is>
          <t>MELLERUD</t>
        </is>
      </c>
      <c r="I271" t="n">
        <v>4.8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59865-2024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45639</v>
      </c>
      <c r="E272" s="1" t="n">
        <v>46252</v>
      </c>
      <c r="F272" t="inlineStr">
        <is>
          <t>VÄSTRA GÖTALANDS LÄN</t>
        </is>
      </c>
      <c r="G272" t="inlineStr">
        <is>
          <t>MELLERUD</t>
        </is>
      </c>
      <c r="I272" t="n">
        <v>5.9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51436-2025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45950</v>
      </c>
      <c r="E273" s="1" t="n">
        <v>46252</v>
      </c>
      <c r="F273" t="inlineStr">
        <is>
          <t>VÄSTRA GÖTALANDS LÄN</t>
        </is>
      </c>
      <c r="G273" t="inlineStr">
        <is>
          <t>MELLERUD</t>
        </is>
      </c>
      <c r="I273" t="n">
        <v>2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28863-2025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45820</v>
      </c>
      <c r="E274" s="1" t="n">
        <v>46252</v>
      </c>
      <c r="F274" t="inlineStr">
        <is>
          <t>VÄSTRA GÖTALANDS LÄN</t>
        </is>
      </c>
      <c r="G274" t="inlineStr">
        <is>
          <t>MELLERUD</t>
        </is>
      </c>
      <c r="I274" t="n">
        <v>1.9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24533-2025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45798</v>
      </c>
      <c r="E275" s="1" t="n">
        <v>46252</v>
      </c>
      <c r="F275" t="inlineStr">
        <is>
          <t>VÄSTRA GÖTALANDS LÄN</t>
        </is>
      </c>
      <c r="G275" t="inlineStr">
        <is>
          <t>MELLERUD</t>
        </is>
      </c>
      <c r="I275" t="n">
        <v>5.8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24527-2025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45798</v>
      </c>
      <c r="E276" s="1" t="n">
        <v>46252</v>
      </c>
      <c r="F276" t="inlineStr">
        <is>
          <t>VÄSTRA GÖTALANDS LÄN</t>
        </is>
      </c>
      <c r="G276" t="inlineStr">
        <is>
          <t>MELLERUD</t>
        </is>
      </c>
      <c r="I276" t="n">
        <v>3.6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43017-2024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45567</v>
      </c>
      <c r="E277" s="1" t="n">
        <v>46252</v>
      </c>
      <c r="F277" t="inlineStr">
        <is>
          <t>VÄSTRA GÖTALANDS LÄN</t>
        </is>
      </c>
      <c r="G277" t="inlineStr">
        <is>
          <t>MELLERUD</t>
        </is>
      </c>
      <c r="I277" t="n">
        <v>2.4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25623-2025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45803</v>
      </c>
      <c r="E278" s="1" t="n">
        <v>46252</v>
      </c>
      <c r="F278" t="inlineStr">
        <is>
          <t>VÄSTRA GÖTALANDS LÄN</t>
        </is>
      </c>
      <c r="G278" t="inlineStr">
        <is>
          <t>MELLERUD</t>
        </is>
      </c>
      <c r="I278" t="n">
        <v>1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25652-2025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45803</v>
      </c>
      <c r="E279" s="1" t="n">
        <v>46252</v>
      </c>
      <c r="F279" t="inlineStr">
        <is>
          <t>VÄSTRA GÖTALANDS LÄN</t>
        </is>
      </c>
      <c r="G279" t="inlineStr">
        <is>
          <t>MELLERUD</t>
        </is>
      </c>
      <c r="I279" t="n">
        <v>0.6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25635-2025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45803</v>
      </c>
      <c r="E280" s="1" t="n">
        <v>46252</v>
      </c>
      <c r="F280" t="inlineStr">
        <is>
          <t>VÄSTRA GÖTALANDS LÄN</t>
        </is>
      </c>
      <c r="G280" t="inlineStr">
        <is>
          <t>MELLERUD</t>
        </is>
      </c>
      <c r="I280" t="n">
        <v>0.4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59269-2025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45988</v>
      </c>
      <c r="E281" s="1" t="n">
        <v>46252</v>
      </c>
      <c r="F281" t="inlineStr">
        <is>
          <t>VÄSTRA GÖTALANDS LÄN</t>
        </is>
      </c>
      <c r="G281" t="inlineStr">
        <is>
          <t>MELLERUD</t>
        </is>
      </c>
      <c r="I281" t="n">
        <v>3.5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25036-2026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46174</v>
      </c>
      <c r="E282" s="1" t="n">
        <v>46252</v>
      </c>
      <c r="F282" t="inlineStr">
        <is>
          <t>VÄSTRA GÖTALANDS LÄN</t>
        </is>
      </c>
      <c r="G282" t="inlineStr">
        <is>
          <t>MELLERUD</t>
        </is>
      </c>
      <c r="I282" t="n">
        <v>5.9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S 6094-2021</t>
        </is>
      </c>
      <c r="B283" t="inlineStr">
        <is>
          <t>samrådsanmälan</t>
        </is>
      </c>
      <c r="C283" t="inlineStr">
        <is>
          <t>Annan skogsbruksåtgärd</t>
        </is>
      </c>
      <c r="D283" s="1" t="n">
        <v>44442</v>
      </c>
      <c r="E283" s="1" t="n">
        <v>46252</v>
      </c>
      <c r="F283" t="inlineStr">
        <is>
          <t>VÄSTRA GÖTALANDS LÄN</t>
        </is>
      </c>
      <c r="G283" t="inlineStr">
        <is>
          <t>MELLERUD</t>
        </is>
      </c>
      <c r="I283" t="n">
        <v>0.8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S 10351-2021</t>
        </is>
      </c>
      <c r="B284" t="inlineStr">
        <is>
          <t>samrådsanmälan</t>
        </is>
      </c>
      <c r="C284" t="inlineStr">
        <is>
          <t>Annan skogsbruksåtgärd</t>
        </is>
      </c>
      <c r="D284" s="1" t="n">
        <v>44551</v>
      </c>
      <c r="E284" s="1" t="n">
        <v>46252</v>
      </c>
      <c r="F284" t="inlineStr">
        <is>
          <t>VÄSTRA GÖTALANDS LÄN</t>
        </is>
      </c>
      <c r="G284" t="inlineStr">
        <is>
          <t>MELLERUD</t>
        </is>
      </c>
      <c r="I284" t="n">
        <v>5.8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S 587-2024</t>
        </is>
      </c>
      <c r="B285" t="inlineStr">
        <is>
          <t>samrådsanmälan</t>
        </is>
      </c>
      <c r="C285" t="inlineStr">
        <is>
          <t>Askåterföring</t>
        </is>
      </c>
      <c r="D285" s="1" t="n">
        <v>45351</v>
      </c>
      <c r="E285" s="1" t="n">
        <v>46252</v>
      </c>
      <c r="F285" t="inlineStr">
        <is>
          <t>VÄSTRA GÖTALANDS LÄN</t>
        </is>
      </c>
      <c r="G285" t="inlineStr">
        <is>
          <t>MELLERUD</t>
        </is>
      </c>
      <c r="I285" t="n">
        <v>19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S 1695-2026</t>
        </is>
      </c>
      <c r="B286" t="inlineStr">
        <is>
          <t>samrådsanmälan</t>
        </is>
      </c>
      <c r="C286" t="inlineStr">
        <is>
          <t>Annan skogsbruksåtgärd</t>
        </is>
      </c>
      <c r="D286" s="1" t="n">
        <v>46184</v>
      </c>
      <c r="E286" s="1" t="n">
        <v>46252</v>
      </c>
      <c r="F286" t="inlineStr">
        <is>
          <t>VÄSTRA GÖTALANDS LÄN</t>
        </is>
      </c>
      <c r="G286" t="inlineStr">
        <is>
          <t>MELLERUD</t>
        </is>
      </c>
      <c r="I286" t="n">
        <v>1.6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>
      <c r="A287" t="inlineStr">
        <is>
          <t>S 1717-2026</t>
        </is>
      </c>
      <c r="B287" t="inlineStr">
        <is>
          <t>samrådsanmälan</t>
        </is>
      </c>
      <c r="C287" t="inlineStr">
        <is>
          <t>Askåterföring</t>
        </is>
      </c>
      <c r="D287" s="1" t="n">
        <v>46188</v>
      </c>
      <c r="E287" s="1" t="n">
        <v>46252</v>
      </c>
      <c r="F287" t="inlineStr">
        <is>
          <t>VÄSTRA GÖTALANDS LÄN</t>
        </is>
      </c>
      <c r="G287" t="inlineStr">
        <is>
          <t>MELLERUD</t>
        </is>
      </c>
      <c r="I287" t="n">
        <v>30.4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2026-08-18T01:45:47Z</dcterms:created>
  <dcterms:modified xmlns:dcterms="http://purl.org/dc/terms/" xmlns:xsi="http://www.w3.org/2001/XMLSchema-instance" xsi:type="dcterms:W3CDTF">2026-08-18T01:45:48Z</dcterms:modified>
</cp:coreProperties>
</file>