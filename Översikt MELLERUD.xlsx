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46300</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46300</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46300</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46300</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46300</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46300</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46300</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46300</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46300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46300</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46300</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46300</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46300</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46300</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46300</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46300</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46300</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46300</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46300</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46300</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46300</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46300</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46300</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46300</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46300</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38233-2026</t>
        </is>
      </c>
      <c r="B27" t="inlineStr">
        <is>
          <t>avverkningsanmälan</t>
        </is>
      </c>
      <c r="C27" t="inlineStr">
        <is>
          <t>Föryngringsavverkning</t>
        </is>
      </c>
      <c r="D27" s="1" t="n">
        <v>46281</v>
      </c>
      <c r="E27" s="1" t="n">
        <v>46300</v>
      </c>
      <c r="F27" t="inlineStr">
        <is>
          <t>VÄSTRA GÖTALANDS LÄN</t>
        </is>
      </c>
      <c r="G27" t="inlineStr">
        <is>
          <t>MELLERUD</t>
        </is>
      </c>
      <c r="I27" t="n">
        <v>2.6</v>
      </c>
      <c r="J27" t="n">
        <v>0</v>
      </c>
      <c r="K27" t="n">
        <v>0</v>
      </c>
      <c r="L27" t="n">
        <v>0</v>
      </c>
      <c r="M27" t="n">
        <v>1</v>
      </c>
      <c r="N27" t="n">
        <v>0</v>
      </c>
      <c r="O27" t="n">
        <v>0</v>
      </c>
      <c r="P27" t="n">
        <v>0</v>
      </c>
      <c r="Q27" t="n">
        <v>1</v>
      </c>
      <c r="R27" t="n">
        <v>1</v>
      </c>
      <c r="S27" t="n">
        <v>1</v>
      </c>
      <c r="T27" t="n">
        <v>1</v>
      </c>
      <c r="U27" t="n">
        <v>0</v>
      </c>
      <c r="V27" s="2" t="inlineStr">
        <is>
          <t>Vattenstånds</t>
        </is>
      </c>
      <c r="W27">
        <f>HYPERLINK("https://klasma.github.io/Logging_1461/artfynd/A 38233-2026 artfynd.xlsx", "A 38233-2026")</f>
        <v/>
      </c>
      <c r="X27">
        <f>HYPERLINK("https://klasma.github.io/Logging_1461/kartor/A 38233-2026 karta.png", "A 38233-2026")</f>
        <v/>
      </c>
      <c r="Y27">
        <f>HYPERLINK("https://klasma.github.io/Logging_1461/kartor_geotiff/A 38233-2026 georefererad karta.tif", "A 38233-2026")</f>
        <v/>
      </c>
      <c r="AA27">
        <f>HYPERLINK("https://klasma.github.io/Logging_1461/klagomål/A 38233-2026 FSC-klagomål.docx", "A 38233-2026")</f>
        <v/>
      </c>
      <c r="AB27">
        <f>HYPERLINK("https://klasma.github.io/Logging_1461/klagomålsmail/A 38233-2026 FSC-klagomål mail.docx", "A 38233-2026")</f>
        <v/>
      </c>
      <c r="AC27">
        <f>HYPERLINK("https://klasma.github.io/Logging_1461/tillsyn/A 38233-2026 tillsynsbegäran.docx", "A 38233-2026")</f>
        <v/>
      </c>
      <c r="AD27">
        <f>HYPERLINK("https://klasma.github.io/Logging_1461/tillsynsmail/A 38233-2026 tillsynsbegäran mail.docx", "A 38233-2026")</f>
        <v/>
      </c>
    </row>
    <row r="28" ht="15" customHeight="1">
      <c r="A28" t="inlineStr">
        <is>
          <t>A 3992-2023</t>
        </is>
      </c>
      <c r="B28" t="inlineStr">
        <is>
          <t>avverkningsanmälan</t>
        </is>
      </c>
      <c r="C28" t="inlineStr">
        <is>
          <t>Föryngringsavverkning</t>
        </is>
      </c>
      <c r="D28" s="1" t="n">
        <v>44952</v>
      </c>
      <c r="E28" s="1" t="n">
        <v>46300</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46300</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46300</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46300</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46300</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46300</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46300</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46300</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46300</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46300</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46300</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46300</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46300</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46300</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46300</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46300</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46300</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46300</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46300</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46300</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46300</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46300</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46300</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46300</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52269-2022</t>
        </is>
      </c>
      <c r="B52" t="inlineStr">
        <is>
          <t>avverkningsanmälan</t>
        </is>
      </c>
      <c r="C52" t="inlineStr">
        <is>
          <t>Föryngringsavverkning</t>
        </is>
      </c>
      <c r="D52" s="1" t="n">
        <v>44873</v>
      </c>
      <c r="E52" s="1" t="n">
        <v>46300</v>
      </c>
      <c r="F52" t="inlineStr">
        <is>
          <t>VÄSTRA GÖTALANDS LÄN</t>
        </is>
      </c>
      <c r="G52" t="inlineStr">
        <is>
          <t>MELLERUD</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46300</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61060-2022</t>
        </is>
      </c>
      <c r="B54" t="inlineStr">
        <is>
          <t>avverkningsanmälan</t>
        </is>
      </c>
      <c r="C54" t="inlineStr">
        <is>
          <t>Föryngringsavverkning</t>
        </is>
      </c>
      <c r="D54" s="1" t="n">
        <v>44915</v>
      </c>
      <c r="E54" s="1" t="n">
        <v>46300</v>
      </c>
      <c r="F54" t="inlineStr">
        <is>
          <t>VÄSTRA GÖTALANDS LÄN</t>
        </is>
      </c>
      <c r="G54" t="inlineStr">
        <is>
          <t>MELLERUD</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61061-2022</t>
        </is>
      </c>
      <c r="B55" t="inlineStr">
        <is>
          <t>avverkningsanmälan</t>
        </is>
      </c>
      <c r="C55" t="inlineStr">
        <is>
          <t>Föryngringsavverkning</t>
        </is>
      </c>
      <c r="D55" s="1" t="n">
        <v>44915</v>
      </c>
      <c r="E55" s="1" t="n">
        <v>46300</v>
      </c>
      <c r="F55" t="inlineStr">
        <is>
          <t>VÄSTRA GÖTALANDS LÄN</t>
        </is>
      </c>
      <c r="G55" t="inlineStr">
        <is>
          <t>MELLERUD</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46300</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9374-2023</t>
        </is>
      </c>
      <c r="B57" t="inlineStr">
        <is>
          <t>avverkningsanmälan</t>
        </is>
      </c>
      <c r="C57" t="inlineStr">
        <is>
          <t>Föryngringsavverkning</t>
        </is>
      </c>
      <c r="D57" s="1" t="n">
        <v>44981</v>
      </c>
      <c r="E57" s="1" t="n">
        <v>46300</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4054-2025</t>
        </is>
      </c>
      <c r="B58" t="inlineStr">
        <is>
          <t>avverkningsanmälan</t>
        </is>
      </c>
      <c r="C58" t="inlineStr">
        <is>
          <t>Föryngringsavverkning</t>
        </is>
      </c>
      <c r="D58" s="1" t="n">
        <v>45684</v>
      </c>
      <c r="E58" s="1" t="n">
        <v>46300</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9152-2024</t>
        </is>
      </c>
      <c r="B59" t="inlineStr">
        <is>
          <t>avverkningsanmälan</t>
        </is>
      </c>
      <c r="C59" t="inlineStr">
        <is>
          <t>Föryngringsavverkning</t>
        </is>
      </c>
      <c r="D59" s="1" t="n">
        <v>45357</v>
      </c>
      <c r="E59" s="1" t="n">
        <v>46300</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19872-2023</t>
        </is>
      </c>
      <c r="B60" t="inlineStr">
        <is>
          <t>avverkningsanmälan</t>
        </is>
      </c>
      <c r="C60" t="inlineStr">
        <is>
          <t>Föryngringsavverkning</t>
        </is>
      </c>
      <c r="D60" s="1" t="n">
        <v>45054</v>
      </c>
      <c r="E60" s="1" t="n">
        <v>46300</v>
      </c>
      <c r="F60" t="inlineStr">
        <is>
          <t>VÄSTRA GÖTALANDS LÄN</t>
        </is>
      </c>
      <c r="G60" t="inlineStr">
        <is>
          <t>MELLERUD</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56025-2024</t>
        </is>
      </c>
      <c r="B61" t="inlineStr">
        <is>
          <t>avverkningsanmälan</t>
        </is>
      </c>
      <c r="C61" t="inlineStr">
        <is>
          <t>Föryngringsavverkning</t>
        </is>
      </c>
      <c r="D61" s="1" t="n">
        <v>45624</v>
      </c>
      <c r="E61" s="1" t="n">
        <v>46300</v>
      </c>
      <c r="F61" t="inlineStr">
        <is>
          <t>VÄSTRA GÖTALANDS LÄN</t>
        </is>
      </c>
      <c r="G61" t="inlineStr">
        <is>
          <t>MELLERUD</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51173-2023</t>
        </is>
      </c>
      <c r="B62" t="inlineStr">
        <is>
          <t>avverkningsanmälan</t>
        </is>
      </c>
      <c r="C62" t="inlineStr">
        <is>
          <t>Föryngringsavverkning</t>
        </is>
      </c>
      <c r="D62" s="1" t="n">
        <v>45212</v>
      </c>
      <c r="E62" s="1" t="n">
        <v>46300</v>
      </c>
      <c r="F62" t="inlineStr">
        <is>
          <t>VÄSTRA GÖTALANDS LÄN</t>
        </is>
      </c>
      <c r="G62" t="inlineStr">
        <is>
          <t>MELLERUD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9456-2024</t>
        </is>
      </c>
      <c r="B63" t="inlineStr">
        <is>
          <t>avverkningsanmälan</t>
        </is>
      </c>
      <c r="C63" t="inlineStr">
        <is>
          <t>Föryngringsavverkning</t>
        </is>
      </c>
      <c r="D63" s="1" t="n">
        <v>45359</v>
      </c>
      <c r="E63" s="1" t="n">
        <v>46300</v>
      </c>
      <c r="F63" t="inlineStr">
        <is>
          <t>VÄSTRA GÖTALANDS LÄN</t>
        </is>
      </c>
      <c r="G63" t="inlineStr">
        <is>
          <t>MELLERUD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46300</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10100-2025</t>
        </is>
      </c>
      <c r="B65" t="inlineStr">
        <is>
          <t>avverkningsanmälan</t>
        </is>
      </c>
      <c r="C65" t="inlineStr">
        <is>
          <t>Föryngringsavverkning</t>
        </is>
      </c>
      <c r="D65" s="1" t="n">
        <v>45719</v>
      </c>
      <c r="E65" s="1" t="n">
        <v>46300</v>
      </c>
      <c r="F65" t="inlineStr">
        <is>
          <t>VÄSTRA GÖTALANDS LÄN</t>
        </is>
      </c>
      <c r="G65" t="inlineStr">
        <is>
          <t>MELLERUD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8667-2025</t>
        </is>
      </c>
      <c r="B66" t="inlineStr">
        <is>
          <t>avverkningsanmälan</t>
        </is>
      </c>
      <c r="C66" t="inlineStr">
        <is>
          <t>Föryngringsavverkning</t>
        </is>
      </c>
      <c r="D66" s="1" t="n">
        <v>45712</v>
      </c>
      <c r="E66" s="1" t="n">
        <v>46300</v>
      </c>
      <c r="F66" t="inlineStr">
        <is>
          <t>VÄSTRA GÖTALANDS LÄN</t>
        </is>
      </c>
      <c r="G66" t="inlineStr">
        <is>
          <t>MELLERUD</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10357-2025</t>
        </is>
      </c>
      <c r="B67" t="inlineStr">
        <is>
          <t>avverkningsanmälan</t>
        </is>
      </c>
      <c r="C67" t="inlineStr">
        <is>
          <t>Föryngringsavverkning</t>
        </is>
      </c>
      <c r="D67" s="1" t="n">
        <v>45720</v>
      </c>
      <c r="E67" s="1" t="n">
        <v>46300</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10358-2025</t>
        </is>
      </c>
      <c r="B68" t="inlineStr">
        <is>
          <t>avverkningsanmälan</t>
        </is>
      </c>
      <c r="C68" t="inlineStr">
        <is>
          <t>Föryngringsavverkning</t>
        </is>
      </c>
      <c r="D68" s="1" t="n">
        <v>45720</v>
      </c>
      <c r="E68" s="1" t="n">
        <v>46300</v>
      </c>
      <c r="F68" t="inlineStr">
        <is>
          <t>VÄSTRA GÖTALANDS LÄN</t>
        </is>
      </c>
      <c r="G68" t="inlineStr">
        <is>
          <t>MELLERUD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60993-2022</t>
        </is>
      </c>
      <c r="B69" t="inlineStr">
        <is>
          <t>avverkningsanmälan</t>
        </is>
      </c>
      <c r="C69" t="inlineStr">
        <is>
          <t>Föryngringsavverkning</t>
        </is>
      </c>
      <c r="D69" s="1" t="n">
        <v>44914</v>
      </c>
      <c r="E69" s="1" t="n">
        <v>46300</v>
      </c>
      <c r="F69" t="inlineStr">
        <is>
          <t>VÄSTRA GÖTALANDS LÄN</t>
        </is>
      </c>
      <c r="G69" t="inlineStr">
        <is>
          <t>MELLERUD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38653-2025</t>
        </is>
      </c>
      <c r="B70" t="inlineStr">
        <is>
          <t>avverkningsanmälan</t>
        </is>
      </c>
      <c r="C70" t="inlineStr">
        <is>
          <t>Föryngringsavverkning</t>
        </is>
      </c>
      <c r="D70" s="1" t="n">
        <v>45884</v>
      </c>
      <c r="E70" s="1" t="n">
        <v>46300</v>
      </c>
      <c r="F70" t="inlineStr">
        <is>
          <t>VÄSTRA GÖTALANDS LÄN</t>
        </is>
      </c>
      <c r="G70" t="inlineStr">
        <is>
          <t>MELLERUD</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10097-2025</t>
        </is>
      </c>
      <c r="B71" t="inlineStr">
        <is>
          <t>avverkningsanmälan</t>
        </is>
      </c>
      <c r="C71" t="inlineStr">
        <is>
          <t>Föryngringsavverkning</t>
        </is>
      </c>
      <c r="D71" s="1" t="n">
        <v>45719</v>
      </c>
      <c r="E71" s="1" t="n">
        <v>46300</v>
      </c>
      <c r="F71" t="inlineStr">
        <is>
          <t>VÄSTRA GÖTALANDS LÄN</t>
        </is>
      </c>
      <c r="G71" t="inlineStr">
        <is>
          <t>MELLERUD</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11213-2025</t>
        </is>
      </c>
      <c r="B72" t="inlineStr">
        <is>
          <t>avverkningsanmälan</t>
        </is>
      </c>
      <c r="C72" t="inlineStr">
        <is>
          <t>Föryngringsavverkning</t>
        </is>
      </c>
      <c r="D72" s="1" t="n">
        <v>45726</v>
      </c>
      <c r="E72" s="1" t="n">
        <v>46300</v>
      </c>
      <c r="F72" t="inlineStr">
        <is>
          <t>VÄSTRA GÖTALANDS LÄN</t>
        </is>
      </c>
      <c r="G72" t="inlineStr">
        <is>
          <t>MELLERUD</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63249-2025</t>
        </is>
      </c>
      <c r="B73" t="inlineStr">
        <is>
          <t>avverkningsanmälan</t>
        </is>
      </c>
      <c r="C73" t="inlineStr">
        <is>
          <t>Föryngringsavverkning</t>
        </is>
      </c>
      <c r="D73" s="1" t="n">
        <v>46010</v>
      </c>
      <c r="E73" s="1" t="n">
        <v>46300</v>
      </c>
      <c r="F73" t="inlineStr">
        <is>
          <t>VÄSTRA GÖTALANDS LÄN</t>
        </is>
      </c>
      <c r="G73" t="inlineStr">
        <is>
          <t>MELLERUD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7154-2024</t>
        </is>
      </c>
      <c r="B74" t="inlineStr">
        <is>
          <t>avverkningsanmälan</t>
        </is>
      </c>
      <c r="C74" t="inlineStr">
        <is>
          <t>Avverkning för annat ändamål</t>
        </is>
      </c>
      <c r="D74" s="1" t="n">
        <v>45344</v>
      </c>
      <c r="E74" s="1" t="n">
        <v>46300</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38888-2025</t>
        </is>
      </c>
      <c r="B75" t="inlineStr">
        <is>
          <t>avverkningsanmälan</t>
        </is>
      </c>
      <c r="C75" t="inlineStr">
        <is>
          <t>Föryngringsavverkning</t>
        </is>
      </c>
      <c r="D75" s="1" t="n">
        <v>45887</v>
      </c>
      <c r="E75" s="1" t="n">
        <v>46300</v>
      </c>
      <c r="F75" t="inlineStr">
        <is>
          <t>VÄSTRA GÖTALANDS LÄN</t>
        </is>
      </c>
      <c r="G75" t="inlineStr">
        <is>
          <t>MELLERUD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4416-2025</t>
        </is>
      </c>
      <c r="B76" t="inlineStr">
        <is>
          <t>avverkningsanmälan</t>
        </is>
      </c>
      <c r="C76" t="inlineStr">
        <is>
          <t>Föryngringsavverkning</t>
        </is>
      </c>
      <c r="D76" s="1" t="n">
        <v>45686</v>
      </c>
      <c r="E76" s="1" t="n">
        <v>46300</v>
      </c>
      <c r="F76" t="inlineStr">
        <is>
          <t>VÄSTRA GÖTALANDS LÄN</t>
        </is>
      </c>
      <c r="G76" t="inlineStr">
        <is>
          <t>MELLERUD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33388-2022</t>
        </is>
      </c>
      <c r="B77" t="inlineStr">
        <is>
          <t>avverkningsanmälan</t>
        </is>
      </c>
      <c r="C77" t="inlineStr">
        <is>
          <t>Föryngringsavverkning</t>
        </is>
      </c>
      <c r="D77" s="1" t="n">
        <v>44788</v>
      </c>
      <c r="E77" s="1" t="n">
        <v>46300</v>
      </c>
      <c r="F77" t="inlineStr">
        <is>
          <t>VÄSTRA GÖTALANDS LÄN</t>
        </is>
      </c>
      <c r="G77" t="inlineStr">
        <is>
          <t>MELLERUD</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24978-2022</t>
        </is>
      </c>
      <c r="B78" t="inlineStr">
        <is>
          <t>avverkningsanmälan</t>
        </is>
      </c>
      <c r="C78" t="inlineStr">
        <is>
          <t>Föryngringsavverkning</t>
        </is>
      </c>
      <c r="D78" s="1" t="n">
        <v>44728</v>
      </c>
      <c r="E78" s="1" t="n">
        <v>46300</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46917-2022</t>
        </is>
      </c>
      <c r="B79" t="inlineStr">
        <is>
          <t>avverkningsanmälan</t>
        </is>
      </c>
      <c r="C79" t="inlineStr">
        <is>
          <t>Föryngringsavverkning</t>
        </is>
      </c>
      <c r="D79" s="1" t="n">
        <v>44851</v>
      </c>
      <c r="E79" s="1" t="n">
        <v>46300</v>
      </c>
      <c r="F79" t="inlineStr">
        <is>
          <t>VÄSTRA GÖTALANDS LÄN</t>
        </is>
      </c>
      <c r="G79" t="inlineStr">
        <is>
          <t>MELLERUD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37267-2024</t>
        </is>
      </c>
      <c r="B80" t="inlineStr">
        <is>
          <t>avverkningsanmälan</t>
        </is>
      </c>
      <c r="C80" t="inlineStr">
        <is>
          <t>Föryngringsavverkning</t>
        </is>
      </c>
      <c r="D80" s="1" t="n">
        <v>45540</v>
      </c>
      <c r="E80" s="1" t="n">
        <v>46300</v>
      </c>
      <c r="F80" t="inlineStr">
        <is>
          <t>VÄSTRA GÖTALANDS LÄN</t>
        </is>
      </c>
      <c r="G80" t="inlineStr">
        <is>
          <t>MELLERUD</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1830-2026</t>
        </is>
      </c>
      <c r="B81" t="inlineStr">
        <is>
          <t>avverkningsanmälan</t>
        </is>
      </c>
      <c r="C81" t="inlineStr">
        <is>
          <t>Föryngringsavverkning</t>
        </is>
      </c>
      <c r="D81" s="1" t="n">
        <v>46035</v>
      </c>
      <c r="E81" s="1" t="n">
        <v>46300</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1827-2026</t>
        </is>
      </c>
      <c r="B82" t="inlineStr">
        <is>
          <t>avverkningsanmälan</t>
        </is>
      </c>
      <c r="C82" t="inlineStr">
        <is>
          <t>Föryngringsavverkning</t>
        </is>
      </c>
      <c r="D82" s="1" t="n">
        <v>46035</v>
      </c>
      <c r="E82" s="1" t="n">
        <v>46300</v>
      </c>
      <c r="F82" t="inlineStr">
        <is>
          <t>VÄSTRA GÖTALANDS LÄN</t>
        </is>
      </c>
      <c r="G82" t="inlineStr">
        <is>
          <t>MELLERUD</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27908-2025</t>
        </is>
      </c>
      <c r="B83" t="inlineStr">
        <is>
          <t>avverkningsanmälan</t>
        </is>
      </c>
      <c r="C83" t="inlineStr">
        <is>
          <t>Föryngringsavverkning</t>
        </is>
      </c>
      <c r="D83" s="1" t="n">
        <v>45817</v>
      </c>
      <c r="E83" s="1" t="n">
        <v>46300</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14596-2022</t>
        </is>
      </c>
      <c r="B84" t="inlineStr">
        <is>
          <t>avverkningsanmälan</t>
        </is>
      </c>
      <c r="C84" t="inlineStr">
        <is>
          <t>Föryngringsavverkning</t>
        </is>
      </c>
      <c r="D84" s="1" t="n">
        <v>44655</v>
      </c>
      <c r="E84" s="1" t="n">
        <v>46300</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13800-2023</t>
        </is>
      </c>
      <c r="B85" t="inlineStr">
        <is>
          <t>avverkningsanmälan</t>
        </is>
      </c>
      <c r="C85" t="inlineStr">
        <is>
          <t>Föryngringsavverkning</t>
        </is>
      </c>
      <c r="D85" s="1" t="n">
        <v>45007</v>
      </c>
      <c r="E85" s="1" t="n">
        <v>46300</v>
      </c>
      <c r="F85" t="inlineStr">
        <is>
          <t>VÄSTRA GÖTALANDS LÄN</t>
        </is>
      </c>
      <c r="G85" t="inlineStr">
        <is>
          <t>MELLERUD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8155-2023</t>
        </is>
      </c>
      <c r="B86" t="inlineStr">
        <is>
          <t>avverkningsanmälan</t>
        </is>
      </c>
      <c r="C86" t="inlineStr">
        <is>
          <t>Föryngringsavverkning</t>
        </is>
      </c>
      <c r="D86" s="1" t="n">
        <v>44974</v>
      </c>
      <c r="E86" s="1" t="n">
        <v>46300</v>
      </c>
      <c r="F86" t="inlineStr">
        <is>
          <t>VÄSTRA GÖTALANDS LÄN</t>
        </is>
      </c>
      <c r="G86" t="inlineStr">
        <is>
          <t>MELLERUD</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12157-2022</t>
        </is>
      </c>
      <c r="B87" t="inlineStr">
        <is>
          <t>avverkningsanmälan</t>
        </is>
      </c>
      <c r="C87" t="inlineStr">
        <is>
          <t>Avverkning för annat ändamål</t>
        </is>
      </c>
      <c r="D87" s="1" t="n">
        <v>44636</v>
      </c>
      <c r="E87" s="1" t="n">
        <v>46300</v>
      </c>
      <c r="F87" t="inlineStr">
        <is>
          <t>VÄSTRA GÖTALANDS LÄN</t>
        </is>
      </c>
      <c r="G87" t="inlineStr">
        <is>
          <t>MELLERUD</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3178-2026</t>
        </is>
      </c>
      <c r="B88" t="inlineStr">
        <is>
          <t>avverkningsanmälan</t>
        </is>
      </c>
      <c r="C88" t="inlineStr">
        <is>
          <t>Föryngringsavverkning</t>
        </is>
      </c>
      <c r="D88" s="1" t="n">
        <v>46041</v>
      </c>
      <c r="E88" s="1" t="n">
        <v>46300</v>
      </c>
      <c r="F88" t="inlineStr">
        <is>
          <t>VÄSTRA GÖTALANDS LÄN</t>
        </is>
      </c>
      <c r="G88" t="inlineStr">
        <is>
          <t>MELLERUD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3250-2026</t>
        </is>
      </c>
      <c r="B89" t="inlineStr">
        <is>
          <t>avverkningsanmälan</t>
        </is>
      </c>
      <c r="C89" t="inlineStr">
        <is>
          <t>Föryngringsavverkning</t>
        </is>
      </c>
      <c r="D89" s="1" t="n">
        <v>46041</v>
      </c>
      <c r="E89" s="1" t="n">
        <v>46300</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42723-2025</t>
        </is>
      </c>
      <c r="B90" t="inlineStr">
        <is>
          <t>avverkningsanmälan</t>
        </is>
      </c>
      <c r="C90" t="inlineStr">
        <is>
          <t>Föryngringsavverkning</t>
        </is>
      </c>
      <c r="D90" s="1" t="n">
        <v>45908</v>
      </c>
      <c r="E90" s="1" t="n">
        <v>46300</v>
      </c>
      <c r="F90" t="inlineStr">
        <is>
          <t>VÄSTRA GÖTALANDS LÄN</t>
        </is>
      </c>
      <c r="G90" t="inlineStr">
        <is>
          <t>MELLERUD</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43398-2025</t>
        </is>
      </c>
      <c r="B91" t="inlineStr">
        <is>
          <t>avverkningsanmälan</t>
        </is>
      </c>
      <c r="C91" t="inlineStr">
        <is>
          <t>Föryngringsavverkning</t>
        </is>
      </c>
      <c r="D91" s="1" t="n">
        <v>45911</v>
      </c>
      <c r="E91" s="1" t="n">
        <v>46300</v>
      </c>
      <c r="F91" t="inlineStr">
        <is>
          <t>VÄSTRA GÖTALANDS LÄN</t>
        </is>
      </c>
      <c r="G91" t="inlineStr">
        <is>
          <t>MELLERUD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51783-2023</t>
        </is>
      </c>
      <c r="B92" t="inlineStr">
        <is>
          <t>avverkningsanmälan</t>
        </is>
      </c>
      <c r="C92" t="inlineStr">
        <is>
          <t>Föryngringsavverkning</t>
        </is>
      </c>
      <c r="D92" s="1" t="n">
        <v>45222</v>
      </c>
      <c r="E92" s="1" t="n">
        <v>46300</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3201-2026</t>
        </is>
      </c>
      <c r="B93" t="inlineStr">
        <is>
          <t>avverkningsanmälan</t>
        </is>
      </c>
      <c r="C93" t="inlineStr">
        <is>
          <t>Föryngringsavverkning</t>
        </is>
      </c>
      <c r="D93" s="1" t="n">
        <v>46041</v>
      </c>
      <c r="E93" s="1" t="n">
        <v>46300</v>
      </c>
      <c r="F93" t="inlineStr">
        <is>
          <t>VÄSTRA GÖTALANDS LÄN</t>
        </is>
      </c>
      <c r="G93" t="inlineStr">
        <is>
          <t>MELLERUD</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44020-2025</t>
        </is>
      </c>
      <c r="B94" t="inlineStr">
        <is>
          <t>avverkningsanmälan</t>
        </is>
      </c>
      <c r="C94" t="inlineStr">
        <is>
          <t>Föryngringsavverkning</t>
        </is>
      </c>
      <c r="D94" s="1" t="n">
        <v>45915</v>
      </c>
      <c r="E94" s="1" t="n">
        <v>46300</v>
      </c>
      <c r="F94" t="inlineStr">
        <is>
          <t>VÄSTRA GÖTALANDS LÄN</t>
        </is>
      </c>
      <c r="G94" t="inlineStr">
        <is>
          <t>MELLERUD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44600-2025</t>
        </is>
      </c>
      <c r="B95" t="inlineStr">
        <is>
          <t>avverkningsanmälan</t>
        </is>
      </c>
      <c r="C95" t="inlineStr">
        <is>
          <t>Föryngringsavverkning</t>
        </is>
      </c>
      <c r="D95" s="1" t="n">
        <v>45917</v>
      </c>
      <c r="E95" s="1" t="n">
        <v>46300</v>
      </c>
      <c r="F95" t="inlineStr">
        <is>
          <t>VÄSTRA GÖTALANDS LÄN</t>
        </is>
      </c>
      <c r="G95" t="inlineStr">
        <is>
          <t>MELLERUD</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24533-2025</t>
        </is>
      </c>
      <c r="B96" t="inlineStr">
        <is>
          <t>avverkningsanmälan</t>
        </is>
      </c>
      <c r="C96" t="inlineStr">
        <is>
          <t>Föryngringsavverkning</t>
        </is>
      </c>
      <c r="D96" s="1" t="n">
        <v>45798</v>
      </c>
      <c r="E96" s="1" t="n">
        <v>46300</v>
      </c>
      <c r="F96" t="inlineStr">
        <is>
          <t>VÄSTRA GÖTALANDS LÄN</t>
        </is>
      </c>
      <c r="G96" t="inlineStr">
        <is>
          <t>MELLERUD</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46300</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44573-2025</t>
        </is>
      </c>
      <c r="B98" t="inlineStr">
        <is>
          <t>avverkningsanmälan</t>
        </is>
      </c>
      <c r="C98" t="inlineStr">
        <is>
          <t>Föryngringsavverkning</t>
        </is>
      </c>
      <c r="D98" s="1" t="n">
        <v>45917</v>
      </c>
      <c r="E98" s="1" t="n">
        <v>46300</v>
      </c>
      <c r="F98" t="inlineStr">
        <is>
          <t>VÄSTRA GÖTALANDS LÄN</t>
        </is>
      </c>
      <c r="G98" t="inlineStr">
        <is>
          <t>MELLERUD</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24527-2025</t>
        </is>
      </c>
      <c r="B99" t="inlineStr">
        <is>
          <t>avverkningsanmälan</t>
        </is>
      </c>
      <c r="C99" t="inlineStr">
        <is>
          <t>Föryngringsavverkning</t>
        </is>
      </c>
      <c r="D99" s="1" t="n">
        <v>45798</v>
      </c>
      <c r="E99" s="1" t="n">
        <v>46300</v>
      </c>
      <c r="F99" t="inlineStr">
        <is>
          <t>VÄSTRA GÖTALANDS LÄN</t>
        </is>
      </c>
      <c r="G99" t="inlineStr">
        <is>
          <t>MELLERUD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43017-2024</t>
        </is>
      </c>
      <c r="B100" t="inlineStr">
        <is>
          <t>avverkningsanmälan</t>
        </is>
      </c>
      <c r="C100" t="inlineStr">
        <is>
          <t>Föryngringsavverkning</t>
        </is>
      </c>
      <c r="D100" s="1" t="n">
        <v>45567</v>
      </c>
      <c r="E100" s="1" t="n">
        <v>46300</v>
      </c>
      <c r="F100" t="inlineStr">
        <is>
          <t>VÄSTRA GÖTALANDS LÄN</t>
        </is>
      </c>
      <c r="G100" t="inlineStr">
        <is>
          <t>MELLERUD</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25623-2025</t>
        </is>
      </c>
      <c r="B101" t="inlineStr">
        <is>
          <t>avverkningsanmälan</t>
        </is>
      </c>
      <c r="C101" t="inlineStr">
        <is>
          <t>Föryngringsavverkning</t>
        </is>
      </c>
      <c r="D101" s="1" t="n">
        <v>45803</v>
      </c>
      <c r="E101" s="1" t="n">
        <v>46300</v>
      </c>
      <c r="F101" t="inlineStr">
        <is>
          <t>VÄSTRA GÖTALANDS LÄN</t>
        </is>
      </c>
      <c r="G101" t="inlineStr">
        <is>
          <t>MELLERUD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25652-2025</t>
        </is>
      </c>
      <c r="B102" t="inlineStr">
        <is>
          <t>avverkningsanmälan</t>
        </is>
      </c>
      <c r="C102" t="inlineStr">
        <is>
          <t>Föryngringsavverkning</t>
        </is>
      </c>
      <c r="D102" s="1" t="n">
        <v>45803</v>
      </c>
      <c r="E102" s="1" t="n">
        <v>46300</v>
      </c>
      <c r="F102" t="inlineStr">
        <is>
          <t>VÄSTRA GÖTALANDS LÄN</t>
        </is>
      </c>
      <c r="G102" t="inlineStr">
        <is>
          <t>MELLERUD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25635-2025</t>
        </is>
      </c>
      <c r="B103" t="inlineStr">
        <is>
          <t>avverkningsanmälan</t>
        </is>
      </c>
      <c r="C103" t="inlineStr">
        <is>
          <t>Föryngringsavverkning</t>
        </is>
      </c>
      <c r="D103" s="1" t="n">
        <v>45803</v>
      </c>
      <c r="E103" s="1" t="n">
        <v>46300</v>
      </c>
      <c r="F103" t="inlineStr">
        <is>
          <t>VÄSTRA GÖTALANDS LÄN</t>
        </is>
      </c>
      <c r="G103" t="inlineStr">
        <is>
          <t>MELLERUD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5324-2026</t>
        </is>
      </c>
      <c r="B104" t="inlineStr">
        <is>
          <t>avverkningsanmälan</t>
        </is>
      </c>
      <c r="C104" t="inlineStr">
        <is>
          <t>Föryngringsavverkning</t>
        </is>
      </c>
      <c r="D104" s="1" t="n">
        <v>46050</v>
      </c>
      <c r="E104" s="1" t="n">
        <v>46300</v>
      </c>
      <c r="F104" t="inlineStr">
        <is>
          <t>VÄSTRA GÖTALANDS LÄN</t>
        </is>
      </c>
      <c r="G104" t="inlineStr">
        <is>
          <t>MELLERUD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39535-2024</t>
        </is>
      </c>
      <c r="B105" t="inlineStr">
        <is>
          <t>avverkningsanmälan</t>
        </is>
      </c>
      <c r="C105" t="inlineStr">
        <is>
          <t>Föryngringsavverkning</t>
        </is>
      </c>
      <c r="D105" s="1" t="n">
        <v>45551</v>
      </c>
      <c r="E105" s="1" t="n">
        <v>46300</v>
      </c>
      <c r="F105" t="inlineStr">
        <is>
          <t>VÄSTRA GÖTALANDS LÄN</t>
        </is>
      </c>
      <c r="G105" t="inlineStr">
        <is>
          <t>MELLERUD</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7443-2023</t>
        </is>
      </c>
      <c r="B106" t="inlineStr">
        <is>
          <t>avverkningsanmälan</t>
        </is>
      </c>
      <c r="C106" t="inlineStr">
        <is>
          <t>Föryngringsavverkning</t>
        </is>
      </c>
      <c r="D106" s="1" t="n">
        <v>44971</v>
      </c>
      <c r="E106" s="1" t="n">
        <v>46300</v>
      </c>
      <c r="F106" t="inlineStr">
        <is>
          <t>VÄSTRA GÖTALANDS LÄN</t>
        </is>
      </c>
      <c r="G106" t="inlineStr">
        <is>
          <t>MELLERUD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45861-2025</t>
        </is>
      </c>
      <c r="B107" t="inlineStr">
        <is>
          <t>avverkningsanmälan</t>
        </is>
      </c>
      <c r="C107" t="inlineStr">
        <is>
          <t>Föryngringsavverkning</t>
        </is>
      </c>
      <c r="D107" s="1" t="n">
        <v>45923</v>
      </c>
      <c r="E107" s="1" t="n">
        <v>46300</v>
      </c>
      <c r="F107" t="inlineStr">
        <is>
          <t>VÄSTRA GÖTALANDS LÄN</t>
        </is>
      </c>
      <c r="G107" t="inlineStr">
        <is>
          <t>MELLERUD</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45935-2025</t>
        </is>
      </c>
      <c r="B108" t="inlineStr">
        <is>
          <t>avverkningsanmälan</t>
        </is>
      </c>
      <c r="C108" t="inlineStr">
        <is>
          <t>Föryngringsavverkning</t>
        </is>
      </c>
      <c r="D108" s="1" t="n">
        <v>45923</v>
      </c>
      <c r="E108" s="1" t="n">
        <v>46300</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45991-2025</t>
        </is>
      </c>
      <c r="B109" t="inlineStr">
        <is>
          <t>avverkningsanmälan</t>
        </is>
      </c>
      <c r="C109" t="inlineStr">
        <is>
          <t>Föryngringsavverkning</t>
        </is>
      </c>
      <c r="D109" s="1" t="n">
        <v>45924</v>
      </c>
      <c r="E109" s="1" t="n">
        <v>46300</v>
      </c>
      <c r="F109" t="inlineStr">
        <is>
          <t>VÄSTRA GÖTALANDS LÄN</t>
        </is>
      </c>
      <c r="G109" t="inlineStr">
        <is>
          <t>MELLERUD</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7047-2026</t>
        </is>
      </c>
      <c r="B110" t="inlineStr">
        <is>
          <t>avverkningsanmälan</t>
        </is>
      </c>
      <c r="C110" t="inlineStr">
        <is>
          <t>Föryngringsavverkning</t>
        </is>
      </c>
      <c r="D110" s="1" t="n">
        <v>46057</v>
      </c>
      <c r="E110" s="1" t="n">
        <v>46300</v>
      </c>
      <c r="F110" t="inlineStr">
        <is>
          <t>VÄSTRA GÖTALANDS LÄN</t>
        </is>
      </c>
      <c r="G110" t="inlineStr">
        <is>
          <t>MELLERUD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46872-2025</t>
        </is>
      </c>
      <c r="B111" t="inlineStr">
        <is>
          <t>avverkningsanmälan</t>
        </is>
      </c>
      <c r="C111" t="inlineStr">
        <is>
          <t>Föryngringsavverkning</t>
        </is>
      </c>
      <c r="D111" s="1" t="n">
        <v>45929</v>
      </c>
      <c r="E111" s="1" t="n">
        <v>46300</v>
      </c>
      <c r="F111" t="inlineStr">
        <is>
          <t>VÄSTRA GÖTALANDS LÄN</t>
        </is>
      </c>
      <c r="G111" t="inlineStr">
        <is>
          <t>MELLERUD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10356-2025</t>
        </is>
      </c>
      <c r="B112" t="inlineStr">
        <is>
          <t>avverkningsanmälan</t>
        </is>
      </c>
      <c r="C112" t="inlineStr">
        <is>
          <t>Föryngringsavverkning</t>
        </is>
      </c>
      <c r="D112" s="1" t="n">
        <v>45720</v>
      </c>
      <c r="E112" s="1" t="n">
        <v>46300</v>
      </c>
      <c r="F112" t="inlineStr">
        <is>
          <t>VÄSTRA GÖTALANDS LÄN</t>
        </is>
      </c>
      <c r="G112" t="inlineStr">
        <is>
          <t>MELLERUD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7125-2026</t>
        </is>
      </c>
      <c r="B113" t="inlineStr">
        <is>
          <t>avverkningsanmälan</t>
        </is>
      </c>
      <c r="C113" t="inlineStr">
        <is>
          <t>Föryngringsavverkning</t>
        </is>
      </c>
      <c r="D113" s="1" t="n">
        <v>46058</v>
      </c>
      <c r="E113" s="1" t="n">
        <v>46300</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46668-2025</t>
        </is>
      </c>
      <c r="B114" t="inlineStr">
        <is>
          <t>avverkningsanmälan</t>
        </is>
      </c>
      <c r="C114" t="inlineStr">
        <is>
          <t>Föryngringsavverkning</t>
        </is>
      </c>
      <c r="D114" s="1" t="n">
        <v>45926</v>
      </c>
      <c r="E114" s="1" t="n">
        <v>46300</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17685-2024</t>
        </is>
      </c>
      <c r="B115" t="inlineStr">
        <is>
          <t>avverkningsanmälan</t>
        </is>
      </c>
      <c r="C115" t="inlineStr">
        <is>
          <t>Föryngringsavverkning</t>
        </is>
      </c>
      <c r="D115" s="1" t="n">
        <v>45418</v>
      </c>
      <c r="E115" s="1" t="n">
        <v>46300</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7120-2026</t>
        </is>
      </c>
      <c r="B116" t="inlineStr">
        <is>
          <t>avverkningsanmälan</t>
        </is>
      </c>
      <c r="C116" t="inlineStr">
        <is>
          <t>Föryngringsavverkning</t>
        </is>
      </c>
      <c r="D116" s="1" t="n">
        <v>46058</v>
      </c>
      <c r="E116" s="1" t="n">
        <v>46300</v>
      </c>
      <c r="F116" t="inlineStr">
        <is>
          <t>VÄSTRA GÖTALANDS LÄN</t>
        </is>
      </c>
      <c r="G116" t="inlineStr">
        <is>
          <t>MELLERUD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7117-2026</t>
        </is>
      </c>
      <c r="B117" t="inlineStr">
        <is>
          <t>avverkningsanmälan</t>
        </is>
      </c>
      <c r="C117" t="inlineStr">
        <is>
          <t>Föryngringsavverkning</t>
        </is>
      </c>
      <c r="D117" s="1" t="n">
        <v>46058</v>
      </c>
      <c r="E117" s="1" t="n">
        <v>46300</v>
      </c>
      <c r="F117" t="inlineStr">
        <is>
          <t>VÄSTRA GÖTALANDS LÄN</t>
        </is>
      </c>
      <c r="G117" t="inlineStr">
        <is>
          <t>MELLERUD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9573-2026</t>
        </is>
      </c>
      <c r="B118" t="inlineStr">
        <is>
          <t>avverkningsanmälan</t>
        </is>
      </c>
      <c r="C118" t="inlineStr">
        <is>
          <t>Föryngringsavverkning</t>
        </is>
      </c>
      <c r="D118" s="1" t="n">
        <v>46071</v>
      </c>
      <c r="E118" s="1" t="n">
        <v>46300</v>
      </c>
      <c r="F118" t="inlineStr">
        <is>
          <t>VÄSTRA GÖTALANDS LÄN</t>
        </is>
      </c>
      <c r="G118" t="inlineStr">
        <is>
          <t>MELLERUD</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35605-2024</t>
        </is>
      </c>
      <c r="B119" t="inlineStr">
        <is>
          <t>avverkningsanmälan</t>
        </is>
      </c>
      <c r="C119" t="inlineStr">
        <is>
          <t>Föryngringsavverkning</t>
        </is>
      </c>
      <c r="D119" s="1" t="n">
        <v>45531</v>
      </c>
      <c r="E119" s="1" t="n">
        <v>46300</v>
      </c>
      <c r="F119" t="inlineStr">
        <is>
          <t>VÄSTRA GÖTALANDS LÄN</t>
        </is>
      </c>
      <c r="G119" t="inlineStr">
        <is>
          <t>MELLERUD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46300</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16656-2022</t>
        </is>
      </c>
      <c r="B121" t="inlineStr">
        <is>
          <t>avverkningsanmälan</t>
        </is>
      </c>
      <c r="C121" t="inlineStr">
        <is>
          <t>Föryngringsavverkning</t>
        </is>
      </c>
      <c r="D121" s="1" t="n">
        <v>44672</v>
      </c>
      <c r="E121" s="1" t="n">
        <v>46300</v>
      </c>
      <c r="F121" t="inlineStr">
        <is>
          <t>VÄSTRA GÖTALANDS LÄN</t>
        </is>
      </c>
      <c r="G121" t="inlineStr">
        <is>
          <t>MELLERUD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60395-2024</t>
        </is>
      </c>
      <c r="B122" t="inlineStr">
        <is>
          <t>avverkningsanmälan</t>
        </is>
      </c>
      <c r="C122" t="inlineStr">
        <is>
          <t>Avverkning för annat ändamål</t>
        </is>
      </c>
      <c r="D122" s="1" t="n">
        <v>45643</v>
      </c>
      <c r="E122" s="1" t="n">
        <v>46300</v>
      </c>
      <c r="F122" t="inlineStr">
        <is>
          <t>VÄSTRA GÖTALANDS LÄN</t>
        </is>
      </c>
      <c r="G122" t="inlineStr">
        <is>
          <t>MELLERUD</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11249-2026</t>
        </is>
      </c>
      <c r="B123" t="inlineStr">
        <is>
          <t>avverkningsanmälan</t>
        </is>
      </c>
      <c r="C123" t="inlineStr">
        <is>
          <t>Föryngringsavverkning</t>
        </is>
      </c>
      <c r="D123" s="1" t="n">
        <v>46080</v>
      </c>
      <c r="E123" s="1" t="n">
        <v>46300</v>
      </c>
      <c r="F123" t="inlineStr">
        <is>
          <t>VÄSTRA GÖTALANDS LÄN</t>
        </is>
      </c>
      <c r="G123" t="inlineStr">
        <is>
          <t>MELLERUD</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43406-2025</t>
        </is>
      </c>
      <c r="B124" t="inlineStr">
        <is>
          <t>avverkningsanmälan</t>
        </is>
      </c>
      <c r="C124" t="inlineStr">
        <is>
          <t>Föryngringsavverkning</t>
        </is>
      </c>
      <c r="D124" s="1" t="n">
        <v>45911</v>
      </c>
      <c r="E124" s="1" t="n">
        <v>46300</v>
      </c>
      <c r="F124" t="inlineStr">
        <is>
          <t>VÄSTRA GÖTALANDS LÄN</t>
        </is>
      </c>
      <c r="G124" t="inlineStr">
        <is>
          <t>MELLERUD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11121-2026</t>
        </is>
      </c>
      <c r="B125" t="inlineStr">
        <is>
          <t>avverkningsanmälan</t>
        </is>
      </c>
      <c r="C125" t="inlineStr">
        <is>
          <t>Avverkning för annat ändamål</t>
        </is>
      </c>
      <c r="D125" s="1" t="n">
        <v>46079</v>
      </c>
      <c r="E125" s="1" t="n">
        <v>46300</v>
      </c>
      <c r="F125" t="inlineStr">
        <is>
          <t>VÄSTRA GÖTALANDS LÄN</t>
        </is>
      </c>
      <c r="G125" t="inlineStr">
        <is>
          <t>MELLERUD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11323-2026</t>
        </is>
      </c>
      <c r="B126" t="inlineStr">
        <is>
          <t>avverkningsanmälan</t>
        </is>
      </c>
      <c r="C126" t="inlineStr">
        <is>
          <t>Avverkning för annat ändamål</t>
        </is>
      </c>
      <c r="D126" s="1" t="n">
        <v>46080</v>
      </c>
      <c r="E126" s="1" t="n">
        <v>46300</v>
      </c>
      <c r="F126" t="inlineStr">
        <is>
          <t>VÄSTRA GÖTALANDS LÄN</t>
        </is>
      </c>
      <c r="G126" t="inlineStr">
        <is>
          <t>MELLERUD</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17693-2023</t>
        </is>
      </c>
      <c r="B127" t="inlineStr">
        <is>
          <t>avverkningsanmälan</t>
        </is>
      </c>
      <c r="C127" t="inlineStr">
        <is>
          <t>Föryngringsavverkning</t>
        </is>
      </c>
      <c r="D127" s="1" t="n">
        <v>45037</v>
      </c>
      <c r="E127" s="1" t="n">
        <v>46300</v>
      </c>
      <c r="F127" t="inlineStr">
        <is>
          <t>VÄSTRA GÖTALANDS LÄN</t>
        </is>
      </c>
      <c r="G127" t="inlineStr">
        <is>
          <t>MELLERUD</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12501-2025</t>
        </is>
      </c>
      <c r="B128" t="inlineStr">
        <is>
          <t>avverkningsanmälan</t>
        </is>
      </c>
      <c r="C128" t="inlineStr">
        <is>
          <t>Föryngringsavverkning</t>
        </is>
      </c>
      <c r="D128" s="1" t="n">
        <v>45730</v>
      </c>
      <c r="E128" s="1" t="n">
        <v>46300</v>
      </c>
      <c r="F128" t="inlineStr">
        <is>
          <t>VÄSTRA GÖTALANDS LÄN</t>
        </is>
      </c>
      <c r="G128" t="inlineStr">
        <is>
          <t>MELLERUD</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25109-2022</t>
        </is>
      </c>
      <c r="B129" t="inlineStr">
        <is>
          <t>avverkningsanmälan</t>
        </is>
      </c>
      <c r="C129" t="inlineStr">
        <is>
          <t>Föryngringsavverkning</t>
        </is>
      </c>
      <c r="D129" s="1" t="n">
        <v>44729</v>
      </c>
      <c r="E129" s="1" t="n">
        <v>46300</v>
      </c>
      <c r="F129" t="inlineStr">
        <is>
          <t>VÄSTRA GÖTALANDS LÄN</t>
        </is>
      </c>
      <c r="G129" t="inlineStr">
        <is>
          <t>MELLERUD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11848-2025</t>
        </is>
      </c>
      <c r="B130" t="inlineStr">
        <is>
          <t>avverkningsanmälan</t>
        </is>
      </c>
      <c r="C130" t="inlineStr">
        <is>
          <t>Föryngringsavverkning</t>
        </is>
      </c>
      <c r="D130" s="1" t="n">
        <v>45728</v>
      </c>
      <c r="E130" s="1" t="n">
        <v>46300</v>
      </c>
      <c r="F130" t="inlineStr">
        <is>
          <t>VÄSTRA GÖTALANDS LÄN</t>
        </is>
      </c>
      <c r="G130" t="inlineStr">
        <is>
          <t>MELLERUD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8165-2023</t>
        </is>
      </c>
      <c r="B131" t="inlineStr">
        <is>
          <t>avverkningsanmälan</t>
        </is>
      </c>
      <c r="C131" t="inlineStr">
        <is>
          <t>Föryngringsavverkning</t>
        </is>
      </c>
      <c r="D131" s="1" t="n">
        <v>44974</v>
      </c>
      <c r="E131" s="1" t="n">
        <v>46300</v>
      </c>
      <c r="F131" t="inlineStr">
        <is>
          <t>VÄSTRA GÖTALANDS LÄN</t>
        </is>
      </c>
      <c r="G131" t="inlineStr">
        <is>
          <t>MELLERUD</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50478-2025</t>
        </is>
      </c>
      <c r="B132" t="inlineStr">
        <is>
          <t>avverkningsanmälan</t>
        </is>
      </c>
      <c r="C132" t="inlineStr">
        <is>
          <t>Föryngringsavverkning</t>
        </is>
      </c>
      <c r="D132" s="1" t="n">
        <v>45945</v>
      </c>
      <c r="E132" s="1" t="n">
        <v>46300</v>
      </c>
      <c r="F132" t="inlineStr">
        <is>
          <t>VÄSTRA GÖTALANDS LÄN</t>
        </is>
      </c>
      <c r="G132" t="inlineStr">
        <is>
          <t>MELLERUD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50482-2025</t>
        </is>
      </c>
      <c r="B133" t="inlineStr">
        <is>
          <t>avverkningsanmälan</t>
        </is>
      </c>
      <c r="C133" t="inlineStr">
        <is>
          <t>Föryngringsavverkning</t>
        </is>
      </c>
      <c r="D133" s="1" t="n">
        <v>45945</v>
      </c>
      <c r="E133" s="1" t="n">
        <v>46300</v>
      </c>
      <c r="F133" t="inlineStr">
        <is>
          <t>VÄSTRA GÖTALANDS LÄN</t>
        </is>
      </c>
      <c r="G133" t="inlineStr">
        <is>
          <t>MELLERUD</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53232-2025</t>
        </is>
      </c>
      <c r="B134" t="inlineStr">
        <is>
          <t>avverkningsanmälan</t>
        </is>
      </c>
      <c r="C134" t="inlineStr">
        <is>
          <t>Föryngringsavverkning</t>
        </is>
      </c>
      <c r="D134" s="1" t="n">
        <v>45958</v>
      </c>
      <c r="E134" s="1" t="n">
        <v>46300</v>
      </c>
      <c r="F134" t="inlineStr">
        <is>
          <t>VÄSTRA GÖTALANDS LÄN</t>
        </is>
      </c>
      <c r="G134" t="inlineStr">
        <is>
          <t>MELLERUD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17528-2024</t>
        </is>
      </c>
      <c r="B135" t="inlineStr">
        <is>
          <t>avverkningsanmälan</t>
        </is>
      </c>
      <c r="C135" t="inlineStr">
        <is>
          <t>Föryngringsavverkning</t>
        </is>
      </c>
      <c r="D135" s="1" t="n">
        <v>45415</v>
      </c>
      <c r="E135" s="1" t="n">
        <v>46300</v>
      </c>
      <c r="F135" t="inlineStr">
        <is>
          <t>VÄSTRA GÖTALANDS LÄN</t>
        </is>
      </c>
      <c r="G135" t="inlineStr">
        <is>
          <t>MELLERUD</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52922-2024</t>
        </is>
      </c>
      <c r="B136" t="inlineStr">
        <is>
          <t>avverkningsanmälan</t>
        </is>
      </c>
      <c r="C136" t="inlineStr">
        <is>
          <t>Föryngringsavverkning</t>
        </is>
      </c>
      <c r="D136" s="1" t="n">
        <v>45610</v>
      </c>
      <c r="E136" s="1" t="n">
        <v>46300</v>
      </c>
      <c r="F136" t="inlineStr">
        <is>
          <t>VÄSTRA GÖTALANDS LÄN</t>
        </is>
      </c>
      <c r="G136" t="inlineStr">
        <is>
          <t>MELLERUD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53307-2024</t>
        </is>
      </c>
      <c r="B137" t="inlineStr">
        <is>
          <t>avverkningsanmälan</t>
        </is>
      </c>
      <c r="C137" t="inlineStr">
        <is>
          <t>Föryngringsavverkning</t>
        </is>
      </c>
      <c r="D137" s="1" t="n">
        <v>45614</v>
      </c>
      <c r="E137" s="1" t="n">
        <v>46300</v>
      </c>
      <c r="F137" t="inlineStr">
        <is>
          <t>VÄSTRA GÖTALANDS LÄN</t>
        </is>
      </c>
      <c r="G137" t="inlineStr">
        <is>
          <t>MELLERUD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39728-2023</t>
        </is>
      </c>
      <c r="B138" t="inlineStr">
        <is>
          <t>avverkningsanmälan</t>
        </is>
      </c>
      <c r="C138" t="inlineStr">
        <is>
          <t>Föryngringsavverkning</t>
        </is>
      </c>
      <c r="D138" s="1" t="n">
        <v>45167</v>
      </c>
      <c r="E138" s="1" t="n">
        <v>46300</v>
      </c>
      <c r="F138" t="inlineStr">
        <is>
          <t>VÄSTRA GÖTALANDS LÄN</t>
        </is>
      </c>
      <c r="G138" t="inlineStr">
        <is>
          <t>MELLERUD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17543-2023</t>
        </is>
      </c>
      <c r="B139" t="inlineStr">
        <is>
          <t>avverkningsanmälan</t>
        </is>
      </c>
      <c r="C139" t="inlineStr">
        <is>
          <t>Föryngringsavverkning</t>
        </is>
      </c>
      <c r="D139" s="1" t="n">
        <v>45036</v>
      </c>
      <c r="E139" s="1" t="n">
        <v>46300</v>
      </c>
      <c r="F139" t="inlineStr">
        <is>
          <t>VÄSTRA GÖTALANDS LÄN</t>
        </is>
      </c>
      <c r="G139" t="inlineStr">
        <is>
          <t>MELLERUD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7228-2025</t>
        </is>
      </c>
      <c r="B140" t="inlineStr">
        <is>
          <t>avverkningsanmälan</t>
        </is>
      </c>
      <c r="C140" t="inlineStr">
        <is>
          <t>Föryngringsavverkning</t>
        </is>
      </c>
      <c r="D140" s="1" t="n">
        <v>45702</v>
      </c>
      <c r="E140" s="1" t="n">
        <v>46300</v>
      </c>
      <c r="F140" t="inlineStr">
        <is>
          <t>VÄSTRA GÖTALANDS LÄN</t>
        </is>
      </c>
      <c r="G140" t="inlineStr">
        <is>
          <t>MELLERUD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13594-2026</t>
        </is>
      </c>
      <c r="B141" t="inlineStr">
        <is>
          <t>avverkningsanmälan</t>
        </is>
      </c>
      <c r="C141" t="inlineStr">
        <is>
          <t>Avverkning för annat ändamål</t>
        </is>
      </c>
      <c r="D141" s="1" t="n">
        <v>46096</v>
      </c>
      <c r="E141" s="1" t="n">
        <v>46300</v>
      </c>
      <c r="F141" t="inlineStr">
        <is>
          <t>VÄSTRA GÖTALANDS LÄN</t>
        </is>
      </c>
      <c r="G141" t="inlineStr">
        <is>
          <t>MELLERUD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53254-2022</t>
        </is>
      </c>
      <c r="B142" t="inlineStr">
        <is>
          <t>avverkningsanmälan</t>
        </is>
      </c>
      <c r="C142" t="inlineStr">
        <is>
          <t>Föryngringsavverkning</t>
        </is>
      </c>
      <c r="D142" s="1" t="n">
        <v>44876</v>
      </c>
      <c r="E142" s="1" t="n">
        <v>46300</v>
      </c>
      <c r="F142" t="inlineStr">
        <is>
          <t>VÄSTRA GÖTALANDS LÄN</t>
        </is>
      </c>
      <c r="G142" t="inlineStr">
        <is>
          <t>MELLERUD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46300</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1921-2025</t>
        </is>
      </c>
      <c r="B144" t="inlineStr">
        <is>
          <t>avverkningsanmälan</t>
        </is>
      </c>
      <c r="C144" t="inlineStr">
        <is>
          <t>Föryngringsavverkning</t>
        </is>
      </c>
      <c r="D144" s="1" t="n">
        <v>45671</v>
      </c>
      <c r="E144" s="1" t="n">
        <v>46300</v>
      </c>
      <c r="F144" t="inlineStr">
        <is>
          <t>VÄSTRA GÖTALANDS LÄN</t>
        </is>
      </c>
      <c r="G144" t="inlineStr">
        <is>
          <t>MELLERUD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60996-2022</t>
        </is>
      </c>
      <c r="B145" t="inlineStr">
        <is>
          <t>avverkningsanmälan</t>
        </is>
      </c>
      <c r="C145" t="inlineStr">
        <is>
          <t>Föryngringsavverkning</t>
        </is>
      </c>
      <c r="D145" s="1" t="n">
        <v>44914</v>
      </c>
      <c r="E145" s="1" t="n">
        <v>46300</v>
      </c>
      <c r="F145" t="inlineStr">
        <is>
          <t>VÄSTRA GÖTALANDS LÄN</t>
        </is>
      </c>
      <c r="G145" t="inlineStr">
        <is>
          <t>MELLERUD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28319-2025</t>
        </is>
      </c>
      <c r="B146" t="inlineStr">
        <is>
          <t>avverkningsanmälan</t>
        </is>
      </c>
      <c r="C146" t="inlineStr">
        <is>
          <t>Föryngringsavverkning</t>
        </is>
      </c>
      <c r="D146" s="1" t="n">
        <v>45818</v>
      </c>
      <c r="E146" s="1" t="n">
        <v>46300</v>
      </c>
      <c r="F146" t="inlineStr">
        <is>
          <t>VÄSTRA GÖTALANDS LÄN</t>
        </is>
      </c>
      <c r="G146" t="inlineStr">
        <is>
          <t>MELLERUD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28870-2025</t>
        </is>
      </c>
      <c r="B147" t="inlineStr">
        <is>
          <t>avverkningsanmälan</t>
        </is>
      </c>
      <c r="C147" t="inlineStr">
        <is>
          <t>Föryngringsavverkning</t>
        </is>
      </c>
      <c r="D147" s="1" t="n">
        <v>45820</v>
      </c>
      <c r="E147" s="1" t="n">
        <v>46300</v>
      </c>
      <c r="F147" t="inlineStr">
        <is>
          <t>VÄSTRA GÖTALANDS LÄN</t>
        </is>
      </c>
      <c r="G147" t="inlineStr">
        <is>
          <t>MELLERUD</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15323-2024</t>
        </is>
      </c>
      <c r="B148" t="inlineStr">
        <is>
          <t>avverkningsanmälan</t>
        </is>
      </c>
      <c r="C148" t="inlineStr">
        <is>
          <t>Föryngringsavverkning</t>
        </is>
      </c>
      <c r="D148" s="1" t="n">
        <v>45400</v>
      </c>
      <c r="E148" s="1" t="n">
        <v>46300</v>
      </c>
      <c r="F148" t="inlineStr">
        <is>
          <t>VÄSTRA GÖTALANDS LÄN</t>
        </is>
      </c>
      <c r="G148" t="inlineStr">
        <is>
          <t>MELLERUD</t>
        </is>
      </c>
      <c r="I148" t="n">
        <v>10.6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10398-2024</t>
        </is>
      </c>
      <c r="B149" t="inlineStr">
        <is>
          <t>avverkningsanmälan</t>
        </is>
      </c>
      <c r="C149" t="inlineStr">
        <is>
          <t>Föryngringsavverkning</t>
        </is>
      </c>
      <c r="D149" s="1" t="n">
        <v>45365</v>
      </c>
      <c r="E149" s="1" t="n">
        <v>46300</v>
      </c>
      <c r="F149" t="inlineStr">
        <is>
          <t>VÄSTRA GÖTALANDS LÄN</t>
        </is>
      </c>
      <c r="G149" t="inlineStr">
        <is>
          <t>MELLERUD</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59804-2025</t>
        </is>
      </c>
      <c r="B150" t="inlineStr">
        <is>
          <t>avverkningsanmälan</t>
        </is>
      </c>
      <c r="C150" t="inlineStr">
        <is>
          <t>Föryngringsavverkning</t>
        </is>
      </c>
      <c r="D150" s="1" t="n">
        <v>45992</v>
      </c>
      <c r="E150" s="1" t="n">
        <v>46300</v>
      </c>
      <c r="F150" t="inlineStr">
        <is>
          <t>VÄSTRA GÖTALANDS LÄN</t>
        </is>
      </c>
      <c r="G150" t="inlineStr">
        <is>
          <t>MELLERUD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59802-2025</t>
        </is>
      </c>
      <c r="B151" t="inlineStr">
        <is>
          <t>avverkningsanmälan</t>
        </is>
      </c>
      <c r="C151" t="inlineStr">
        <is>
          <t>Föryngringsavverkning</t>
        </is>
      </c>
      <c r="D151" s="1" t="n">
        <v>45992</v>
      </c>
      <c r="E151" s="1" t="n">
        <v>46300</v>
      </c>
      <c r="F151" t="inlineStr">
        <is>
          <t>VÄSTRA GÖTALANDS LÄN</t>
        </is>
      </c>
      <c r="G151" t="inlineStr">
        <is>
          <t>MELLERUD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59808-2025</t>
        </is>
      </c>
      <c r="B152" t="inlineStr">
        <is>
          <t>avverkningsanmälan</t>
        </is>
      </c>
      <c r="C152" t="inlineStr">
        <is>
          <t>Föryngringsavverkning</t>
        </is>
      </c>
      <c r="D152" s="1" t="n">
        <v>45992</v>
      </c>
      <c r="E152" s="1" t="n">
        <v>46300</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46300</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18055-2026</t>
        </is>
      </c>
      <c r="B154" t="inlineStr">
        <is>
          <t>avverkningsanmälan</t>
        </is>
      </c>
      <c r="C154" t="inlineStr">
        <is>
          <t>Föryngringsavverkning</t>
        </is>
      </c>
      <c r="D154" s="1" t="n">
        <v>46125</v>
      </c>
      <c r="E154" s="1" t="n">
        <v>46300</v>
      </c>
      <c r="F154" t="inlineStr">
        <is>
          <t>VÄSTRA GÖTALANDS LÄN</t>
        </is>
      </c>
      <c r="G154" t="inlineStr">
        <is>
          <t>MELLERUD</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60203-2025</t>
        </is>
      </c>
      <c r="B155" t="inlineStr">
        <is>
          <t>avverkningsanmälan</t>
        </is>
      </c>
      <c r="C155" t="inlineStr">
        <is>
          <t>Föryngringsavverkning</t>
        </is>
      </c>
      <c r="D155" s="1" t="n">
        <v>45994</v>
      </c>
      <c r="E155" s="1" t="n">
        <v>46300</v>
      </c>
      <c r="F155" t="inlineStr">
        <is>
          <t>VÄSTRA GÖTALANDS LÄN</t>
        </is>
      </c>
      <c r="G155" t="inlineStr">
        <is>
          <t>MELLERUD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58861-2022</t>
        </is>
      </c>
      <c r="B156" t="inlineStr">
        <is>
          <t>avverkningsanmälan</t>
        </is>
      </c>
      <c r="C156" t="inlineStr">
        <is>
          <t>Föryngringsavverkning</t>
        </is>
      </c>
      <c r="D156" s="1" t="n">
        <v>44903</v>
      </c>
      <c r="E156" s="1" t="n">
        <v>46300</v>
      </c>
      <c r="F156" t="inlineStr">
        <is>
          <t>VÄSTRA GÖTALANDS LÄN</t>
        </is>
      </c>
      <c r="G156" t="inlineStr">
        <is>
          <t>MELLERUD</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11256-2025</t>
        </is>
      </c>
      <c r="B157" t="inlineStr">
        <is>
          <t>avverkningsanmälan</t>
        </is>
      </c>
      <c r="C157" t="inlineStr">
        <is>
          <t>Föryngringsavverkning</t>
        </is>
      </c>
      <c r="D157" s="1" t="n">
        <v>45726</v>
      </c>
      <c r="E157" s="1" t="n">
        <v>46300</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8923-2024</t>
        </is>
      </c>
      <c r="B158" t="inlineStr">
        <is>
          <t>avverkningsanmälan</t>
        </is>
      </c>
      <c r="C158" t="inlineStr">
        <is>
          <t>Föryngringsavverkning</t>
        </is>
      </c>
      <c r="D158" s="1" t="n">
        <v>45356</v>
      </c>
      <c r="E158" s="1" t="n">
        <v>46300</v>
      </c>
      <c r="F158" t="inlineStr">
        <is>
          <t>VÄSTRA GÖTALANDS LÄN</t>
        </is>
      </c>
      <c r="G158" t="inlineStr">
        <is>
          <t>MELLERUD</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61177-2025</t>
        </is>
      </c>
      <c r="B159" t="inlineStr">
        <is>
          <t>avverkningsanmälan</t>
        </is>
      </c>
      <c r="C159" t="inlineStr">
        <is>
          <t>Avverkning för att bevara och utveckla /försöksver</t>
        </is>
      </c>
      <c r="D159" s="1" t="n">
        <v>46000</v>
      </c>
      <c r="E159" s="1" t="n">
        <v>46300</v>
      </c>
      <c r="F159" t="inlineStr">
        <is>
          <t>VÄSTRA GÖTALANDS LÄN</t>
        </is>
      </c>
      <c r="G159" t="inlineStr">
        <is>
          <t>MELLERUD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61180-2025</t>
        </is>
      </c>
      <c r="B160" t="inlineStr">
        <is>
          <t>avverkningsanmälan</t>
        </is>
      </c>
      <c r="C160" t="inlineStr">
        <is>
          <t>Föryngringsavverkning</t>
        </is>
      </c>
      <c r="D160" s="1" t="n">
        <v>46000</v>
      </c>
      <c r="E160" s="1" t="n">
        <v>46300</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39942-2023</t>
        </is>
      </c>
      <c r="B161" t="inlineStr">
        <is>
          <t>avverkningsanmälan</t>
        </is>
      </c>
      <c r="C161" t="inlineStr">
        <is>
          <t>Föryngringsavverkning</t>
        </is>
      </c>
      <c r="D161" s="1" t="n">
        <v>45167</v>
      </c>
      <c r="E161" s="1" t="n">
        <v>46300</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3998-2025</t>
        </is>
      </c>
      <c r="B162" t="inlineStr">
        <is>
          <t>avverkningsanmälan</t>
        </is>
      </c>
      <c r="C162" t="inlineStr">
        <is>
          <t>Föryngringsavverkning</t>
        </is>
      </c>
      <c r="D162" s="1" t="n">
        <v>45684</v>
      </c>
      <c r="E162" s="1" t="n">
        <v>46300</v>
      </c>
      <c r="F162" t="inlineStr">
        <is>
          <t>VÄSTRA GÖTALANDS LÄN</t>
        </is>
      </c>
      <c r="G162" t="inlineStr">
        <is>
          <t>MELLERUD</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32842-2025</t>
        </is>
      </c>
      <c r="B163" t="inlineStr">
        <is>
          <t>avverkningsanmälan</t>
        </is>
      </c>
      <c r="C163" t="inlineStr">
        <is>
          <t>Föryngringsavverkning</t>
        </is>
      </c>
      <c r="D163" s="1" t="n">
        <v>45839</v>
      </c>
      <c r="E163" s="1" t="n">
        <v>46300</v>
      </c>
      <c r="F163" t="inlineStr">
        <is>
          <t>VÄSTRA GÖTALANDS LÄN</t>
        </is>
      </c>
      <c r="G163" t="inlineStr">
        <is>
          <t>MELLERUD</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24312-2025</t>
        </is>
      </c>
      <c r="B164" t="inlineStr">
        <is>
          <t>avverkningsanmälan</t>
        </is>
      </c>
      <c r="C164" t="inlineStr">
        <is>
          <t>Föryngringsavverkning</t>
        </is>
      </c>
      <c r="D164" s="1" t="n">
        <v>45797</v>
      </c>
      <c r="E164" s="1" t="n">
        <v>46300</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493-2025</t>
        </is>
      </c>
      <c r="B165" t="inlineStr">
        <is>
          <t>avverkningsanmälan</t>
        </is>
      </c>
      <c r="C165" t="inlineStr">
        <is>
          <t>Föryngringsavverkning</t>
        </is>
      </c>
      <c r="D165" s="1" t="n">
        <v>45664</v>
      </c>
      <c r="E165" s="1" t="n">
        <v>46300</v>
      </c>
      <c r="F165" t="inlineStr">
        <is>
          <t>VÄSTRA GÖTALANDS LÄN</t>
        </is>
      </c>
      <c r="G165" t="inlineStr">
        <is>
          <t>MELLERUD</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32384-2023</t>
        </is>
      </c>
      <c r="B166" t="inlineStr">
        <is>
          <t>avverkningsanmälan</t>
        </is>
      </c>
      <c r="C166" t="inlineStr">
        <is>
          <t>Föryngringsavverkning</t>
        </is>
      </c>
      <c r="D166" s="1" t="n">
        <v>45120</v>
      </c>
      <c r="E166" s="1" t="n">
        <v>46300</v>
      </c>
      <c r="F166" t="inlineStr">
        <is>
          <t>VÄSTRA GÖTALANDS LÄN</t>
        </is>
      </c>
      <c r="G166" t="inlineStr">
        <is>
          <t>MELLERUD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35603-2024</t>
        </is>
      </c>
      <c r="B167" t="inlineStr">
        <is>
          <t>avverkningsanmälan</t>
        </is>
      </c>
      <c r="C167" t="inlineStr">
        <is>
          <t>Föryngringsavverkning</t>
        </is>
      </c>
      <c r="D167" s="1" t="n">
        <v>45531</v>
      </c>
      <c r="E167" s="1" t="n">
        <v>46300</v>
      </c>
      <c r="F167" t="inlineStr">
        <is>
          <t>VÄSTRA GÖTALANDS LÄN</t>
        </is>
      </c>
      <c r="G167" t="inlineStr">
        <is>
          <t>MELLERUD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36146-2025</t>
        </is>
      </c>
      <c r="B168" t="inlineStr">
        <is>
          <t>avverkningsanmälan</t>
        </is>
      </c>
      <c r="C168" t="inlineStr">
        <is>
          <t>Föryngringsavverkning</t>
        </is>
      </c>
      <c r="D168" s="1" t="n">
        <v>45866</v>
      </c>
      <c r="E168" s="1" t="n">
        <v>46300</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49449-2025</t>
        </is>
      </c>
      <c r="B169" t="inlineStr">
        <is>
          <t>avverkningsanmälan</t>
        </is>
      </c>
      <c r="C169" t="inlineStr">
        <is>
          <t>Föryngringsavverkning</t>
        </is>
      </c>
      <c r="D169" s="1" t="n">
        <v>45938</v>
      </c>
      <c r="E169" s="1" t="n">
        <v>46300</v>
      </c>
      <c r="F169" t="inlineStr">
        <is>
          <t>VÄSTRA GÖTALANDS LÄN</t>
        </is>
      </c>
      <c r="G169" t="inlineStr">
        <is>
          <t>MELLERUD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23450-2025</t>
        </is>
      </c>
      <c r="B170" t="inlineStr">
        <is>
          <t>avverkningsanmälan</t>
        </is>
      </c>
      <c r="C170" t="inlineStr">
        <is>
          <t>Föryngringsavverkning</t>
        </is>
      </c>
      <c r="D170" s="1" t="n">
        <v>45792</v>
      </c>
      <c r="E170" s="1" t="n">
        <v>46300</v>
      </c>
      <c r="F170" t="inlineStr">
        <is>
          <t>VÄSTRA GÖTALANDS LÄN</t>
        </is>
      </c>
      <c r="G170" t="inlineStr">
        <is>
          <t>MELLERUD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6283-2023</t>
        </is>
      </c>
      <c r="B171" t="inlineStr">
        <is>
          <t>avverkningsanmälan</t>
        </is>
      </c>
      <c r="C171" t="inlineStr">
        <is>
          <t>Föryngringsavverkning</t>
        </is>
      </c>
      <c r="D171" s="1" t="n">
        <v>44965</v>
      </c>
      <c r="E171" s="1" t="n">
        <v>46300</v>
      </c>
      <c r="F171" t="inlineStr">
        <is>
          <t>VÄSTRA GÖTALANDS LÄN</t>
        </is>
      </c>
      <c r="G171" t="inlineStr">
        <is>
          <t>MELLERUD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40064-2023</t>
        </is>
      </c>
      <c r="B172" t="inlineStr">
        <is>
          <t>avverkningsanmälan</t>
        </is>
      </c>
      <c r="C172" t="inlineStr">
        <is>
          <t>Föryngringsavverkning</t>
        </is>
      </c>
      <c r="D172" s="1" t="n">
        <v>45168</v>
      </c>
      <c r="E172" s="1" t="n">
        <v>46300</v>
      </c>
      <c r="F172" t="inlineStr">
        <is>
          <t>VÄSTRA GÖTALANDS LÄN</t>
        </is>
      </c>
      <c r="G172" t="inlineStr">
        <is>
          <t>MELLERUD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34415-2024</t>
        </is>
      </c>
      <c r="B173" t="inlineStr">
        <is>
          <t>avverkningsanmälan</t>
        </is>
      </c>
      <c r="C173" t="inlineStr">
        <is>
          <t>Föryngringsavverkning</t>
        </is>
      </c>
      <c r="D173" s="1" t="n">
        <v>45525</v>
      </c>
      <c r="E173" s="1" t="n">
        <v>46300</v>
      </c>
      <c r="F173" t="inlineStr">
        <is>
          <t>VÄSTRA GÖTALANDS LÄN</t>
        </is>
      </c>
      <c r="G173" t="inlineStr">
        <is>
          <t>MELLERUD</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32304-2024</t>
        </is>
      </c>
      <c r="B174" t="inlineStr">
        <is>
          <t>avverkningsanmälan</t>
        </is>
      </c>
      <c r="C174" t="inlineStr">
        <is>
          <t>Föryngringsavverkning</t>
        </is>
      </c>
      <c r="D174" s="1" t="n">
        <v>45512</v>
      </c>
      <c r="E174" s="1" t="n">
        <v>46300</v>
      </c>
      <c r="F174" t="inlineStr">
        <is>
          <t>VÄSTRA GÖTALANDS LÄN</t>
        </is>
      </c>
      <c r="G174" t="inlineStr">
        <is>
          <t>MELLERUD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46761-2023</t>
        </is>
      </c>
      <c r="B175" t="inlineStr">
        <is>
          <t>avverkningsanmälan</t>
        </is>
      </c>
      <c r="C175" t="inlineStr">
        <is>
          <t>Föryngringsavverkning</t>
        </is>
      </c>
      <c r="D175" s="1" t="n">
        <v>45198</v>
      </c>
      <c r="E175" s="1" t="n">
        <v>46300</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21077-2023</t>
        </is>
      </c>
      <c r="B176" t="inlineStr">
        <is>
          <t>avverkningsanmälan</t>
        </is>
      </c>
      <c r="C176" t="inlineStr">
        <is>
          <t>Föryngringsavverkning</t>
        </is>
      </c>
      <c r="D176" s="1" t="n">
        <v>45057</v>
      </c>
      <c r="E176" s="1" t="n">
        <v>46300</v>
      </c>
      <c r="F176" t="inlineStr">
        <is>
          <t>VÄSTRA GÖTALANDS LÄN</t>
        </is>
      </c>
      <c r="G176" t="inlineStr">
        <is>
          <t>MELLERUD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11442-2024</t>
        </is>
      </c>
      <c r="B177" t="inlineStr">
        <is>
          <t>avverkningsanmälan</t>
        </is>
      </c>
      <c r="C177" t="inlineStr">
        <is>
          <t>Föryngringsavverkning</t>
        </is>
      </c>
      <c r="D177" s="1" t="n">
        <v>45372</v>
      </c>
      <c r="E177" s="1" t="n">
        <v>46300</v>
      </c>
      <c r="F177" t="inlineStr">
        <is>
          <t>VÄSTRA GÖTALANDS LÄN</t>
        </is>
      </c>
      <c r="G177" t="inlineStr">
        <is>
          <t>MELLERUD</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22313-2023</t>
        </is>
      </c>
      <c r="B178" t="inlineStr">
        <is>
          <t>avverkningsanmälan</t>
        </is>
      </c>
      <c r="C178" t="inlineStr">
        <is>
          <t>Föryngringsavverkning</t>
        </is>
      </c>
      <c r="D178" s="1" t="n">
        <v>45070</v>
      </c>
      <c r="E178" s="1" t="n">
        <v>46300</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53565-2022</t>
        </is>
      </c>
      <c r="B179" t="inlineStr">
        <is>
          <t>avverkningsanmälan</t>
        </is>
      </c>
      <c r="C179" t="inlineStr">
        <is>
          <t>Föryngringsavverkning</t>
        </is>
      </c>
      <c r="D179" s="1" t="n">
        <v>44879</v>
      </c>
      <c r="E179" s="1" t="n">
        <v>46300</v>
      </c>
      <c r="F179" t="inlineStr">
        <is>
          <t>VÄSTRA GÖTALANDS LÄN</t>
        </is>
      </c>
      <c r="G179" t="inlineStr">
        <is>
          <t>MELLERUD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17160-2024</t>
        </is>
      </c>
      <c r="B180" t="inlineStr">
        <is>
          <t>avverkningsanmälan</t>
        </is>
      </c>
      <c r="C180" t="inlineStr">
        <is>
          <t>Föryngringsavverkning</t>
        </is>
      </c>
      <c r="D180" s="1" t="n">
        <v>45412</v>
      </c>
      <c r="E180" s="1" t="n">
        <v>46300</v>
      </c>
      <c r="F180" t="inlineStr">
        <is>
          <t>VÄSTRA GÖTALANDS LÄN</t>
        </is>
      </c>
      <c r="G180" t="inlineStr">
        <is>
          <t>MELLERUD</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48256-2022</t>
        </is>
      </c>
      <c r="B181" t="inlineStr">
        <is>
          <t>avverkningsanmälan</t>
        </is>
      </c>
      <c r="C181" t="inlineStr">
        <is>
          <t>Föryngringsavverkning</t>
        </is>
      </c>
      <c r="D181" s="1" t="n">
        <v>44858</v>
      </c>
      <c r="E181" s="1" t="n">
        <v>46300</v>
      </c>
      <c r="F181" t="inlineStr">
        <is>
          <t>VÄSTRA GÖTALANDS LÄN</t>
        </is>
      </c>
      <c r="G181" t="inlineStr">
        <is>
          <t>MELLERUD</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59723-2025</t>
        </is>
      </c>
      <c r="B182" t="inlineStr">
        <is>
          <t>avverkningsanmälan</t>
        </is>
      </c>
      <c r="C182" t="inlineStr">
        <is>
          <t>Föryngringsavverkning</t>
        </is>
      </c>
      <c r="D182" s="1" t="n">
        <v>45992</v>
      </c>
      <c r="E182" s="1" t="n">
        <v>46300</v>
      </c>
      <c r="F182" t="inlineStr">
        <is>
          <t>VÄSTRA GÖTALANDS LÄN</t>
        </is>
      </c>
      <c r="G182" t="inlineStr">
        <is>
          <t>MELLERUD</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15227-2025</t>
        </is>
      </c>
      <c r="B183" t="inlineStr">
        <is>
          <t>avverkningsanmälan</t>
        </is>
      </c>
      <c r="C183" t="inlineStr">
        <is>
          <t>Föryngringsavverkning</t>
        </is>
      </c>
      <c r="D183" s="1" t="n">
        <v>45744</v>
      </c>
      <c r="E183" s="1" t="n">
        <v>46300</v>
      </c>
      <c r="F183" t="inlineStr">
        <is>
          <t>VÄSTRA GÖTALANDS LÄN</t>
        </is>
      </c>
      <c r="G183" t="inlineStr">
        <is>
          <t>MELLERUD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26639-2025</t>
        </is>
      </c>
      <c r="B184" t="inlineStr">
        <is>
          <t>avverkningsanmälan</t>
        </is>
      </c>
      <c r="C184" t="inlineStr">
        <is>
          <t>Föryngringsavverkning</t>
        </is>
      </c>
      <c r="D184" s="1" t="n">
        <v>45810</v>
      </c>
      <c r="E184" s="1" t="n">
        <v>46300</v>
      </c>
      <c r="F184" t="inlineStr">
        <is>
          <t>VÄSTRA GÖTALANDS LÄN</t>
        </is>
      </c>
      <c r="G184" t="inlineStr">
        <is>
          <t>MELLERUD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36141-2025</t>
        </is>
      </c>
      <c r="B185" t="inlineStr">
        <is>
          <t>avverkningsanmälan</t>
        </is>
      </c>
      <c r="C185" t="inlineStr">
        <is>
          <t>Föryngringsavverkning</t>
        </is>
      </c>
      <c r="D185" s="1" t="n">
        <v>45866</v>
      </c>
      <c r="E185" s="1" t="n">
        <v>46300</v>
      </c>
      <c r="F185" t="inlineStr">
        <is>
          <t>VÄSTRA GÖTALANDS LÄN</t>
        </is>
      </c>
      <c r="G185" t="inlineStr">
        <is>
          <t>MELLERUD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36048-2025</t>
        </is>
      </c>
      <c r="B186" t="inlineStr">
        <is>
          <t>avverkningsanmälan</t>
        </is>
      </c>
      <c r="C186" t="inlineStr">
        <is>
          <t>Föryngringsavverkning</t>
        </is>
      </c>
      <c r="D186" s="1" t="n">
        <v>45866</v>
      </c>
      <c r="E186" s="1" t="n">
        <v>46300</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20573-2026</t>
        </is>
      </c>
      <c r="B187" t="inlineStr">
        <is>
          <t>avverkningsanmälan</t>
        </is>
      </c>
      <c r="C187" t="inlineStr">
        <is>
          <t>Föryngringsavverkning</t>
        </is>
      </c>
      <c r="D187" s="1" t="n">
        <v>46140</v>
      </c>
      <c r="E187" s="1" t="n">
        <v>46300</v>
      </c>
      <c r="F187" t="inlineStr">
        <is>
          <t>VÄSTRA GÖTALANDS LÄN</t>
        </is>
      </c>
      <c r="G187" t="inlineStr">
        <is>
          <t>MELLERUD</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8152-2023</t>
        </is>
      </c>
      <c r="B188" t="inlineStr">
        <is>
          <t>avverkningsanmälan</t>
        </is>
      </c>
      <c r="C188" t="inlineStr">
        <is>
          <t>Föryngringsavverkning</t>
        </is>
      </c>
      <c r="D188" s="1" t="n">
        <v>44974</v>
      </c>
      <c r="E188" s="1" t="n">
        <v>46300</v>
      </c>
      <c r="F188" t="inlineStr">
        <is>
          <t>VÄSTRA GÖTALANDS LÄN</t>
        </is>
      </c>
      <c r="G188" t="inlineStr">
        <is>
          <t>MELLERUD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40065-2023</t>
        </is>
      </c>
      <c r="B189" t="inlineStr">
        <is>
          <t>avverkningsanmälan</t>
        </is>
      </c>
      <c r="C189" t="inlineStr">
        <is>
          <t>Föryngringsavverkning</t>
        </is>
      </c>
      <c r="D189" s="1" t="n">
        <v>45168</v>
      </c>
      <c r="E189" s="1" t="n">
        <v>46300</v>
      </c>
      <c r="F189" t="inlineStr">
        <is>
          <t>VÄSTRA GÖTALANDS LÄN</t>
        </is>
      </c>
      <c r="G189" t="inlineStr">
        <is>
          <t>MELLERUD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28865-2025</t>
        </is>
      </c>
      <c r="B190" t="inlineStr">
        <is>
          <t>avverkningsanmälan</t>
        </is>
      </c>
      <c r="C190" t="inlineStr">
        <is>
          <t>Föryngringsavverkning</t>
        </is>
      </c>
      <c r="D190" s="1" t="n">
        <v>45820</v>
      </c>
      <c r="E190" s="1" t="n">
        <v>46300</v>
      </c>
      <c r="F190" t="inlineStr">
        <is>
          <t>VÄSTRA GÖTALANDS LÄN</t>
        </is>
      </c>
      <c r="G190" t="inlineStr">
        <is>
          <t>MELLERUD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45834-2023</t>
        </is>
      </c>
      <c r="B191" t="inlineStr">
        <is>
          <t>avverkningsanmälan</t>
        </is>
      </c>
      <c r="C191" t="inlineStr">
        <is>
          <t>Föryngringsavverkning</t>
        </is>
      </c>
      <c r="D191" s="1" t="n">
        <v>45195</v>
      </c>
      <c r="E191" s="1" t="n">
        <v>46300</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51463-2023</t>
        </is>
      </c>
      <c r="B192" t="inlineStr">
        <is>
          <t>avverkningsanmälan</t>
        </is>
      </c>
      <c r="C192" t="inlineStr">
        <is>
          <t>Föryngringsavverkning</t>
        </is>
      </c>
      <c r="D192" s="1" t="n">
        <v>45221</v>
      </c>
      <c r="E192" s="1" t="n">
        <v>46300</v>
      </c>
      <c r="F192" t="inlineStr">
        <is>
          <t>VÄSTRA GÖTALANDS LÄN</t>
        </is>
      </c>
      <c r="G192" t="inlineStr">
        <is>
          <t>MELLERUD</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8492-2022</t>
        </is>
      </c>
      <c r="B193" t="inlineStr">
        <is>
          <t>avverkningsanmälan</t>
        </is>
      </c>
      <c r="C193" t="inlineStr">
        <is>
          <t>Föryngringsavverkning</t>
        </is>
      </c>
      <c r="D193" s="1" t="n">
        <v>44613</v>
      </c>
      <c r="E193" s="1" t="n">
        <v>46300</v>
      </c>
      <c r="F193" t="inlineStr">
        <is>
          <t>VÄSTRA GÖTALANDS LÄN</t>
        </is>
      </c>
      <c r="G193" t="inlineStr">
        <is>
          <t>MELLERUD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21432-2026</t>
        </is>
      </c>
      <c r="B194" t="inlineStr">
        <is>
          <t>avverkningsanmälan</t>
        </is>
      </c>
      <c r="C194" t="inlineStr">
        <is>
          <t>Föryngringsavverkning</t>
        </is>
      </c>
      <c r="D194" s="1" t="n">
        <v>46148</v>
      </c>
      <c r="E194" s="1" t="n">
        <v>46300</v>
      </c>
      <c r="F194" t="inlineStr">
        <is>
          <t>VÄSTRA GÖTALANDS LÄN</t>
        </is>
      </c>
      <c r="G194" t="inlineStr">
        <is>
          <t>MELLERUD</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48879-2024</t>
        </is>
      </c>
      <c r="B195" t="inlineStr">
        <is>
          <t>avverkningsanmälan</t>
        </is>
      </c>
      <c r="C195" t="inlineStr">
        <is>
          <t>Föryngringsavverkning</t>
        </is>
      </c>
      <c r="D195" s="1" t="n">
        <v>45594</v>
      </c>
      <c r="E195" s="1" t="n">
        <v>46300</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21977-2026</t>
        </is>
      </c>
      <c r="B196" t="inlineStr">
        <is>
          <t>avverkningsanmälan</t>
        </is>
      </c>
      <c r="C196" t="inlineStr">
        <is>
          <t>Föryngringsavverkning</t>
        </is>
      </c>
      <c r="D196" s="1" t="n">
        <v>46153</v>
      </c>
      <c r="E196" s="1" t="n">
        <v>46300</v>
      </c>
      <c r="F196" t="inlineStr">
        <is>
          <t>VÄSTRA GÖTALANDS LÄN</t>
        </is>
      </c>
      <c r="G196" t="inlineStr">
        <is>
          <t>MELLERUD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5647-2023</t>
        </is>
      </c>
      <c r="B197" t="inlineStr">
        <is>
          <t>avverkningsanmälan</t>
        </is>
      </c>
      <c r="C197" t="inlineStr">
        <is>
          <t>Föryngringsavverkning</t>
        </is>
      </c>
      <c r="D197" s="1" t="n">
        <v>44960</v>
      </c>
      <c r="E197" s="1" t="n">
        <v>46300</v>
      </c>
      <c r="F197" t="inlineStr">
        <is>
          <t>VÄSTRA GÖTALANDS LÄN</t>
        </is>
      </c>
      <c r="G197" t="inlineStr">
        <is>
          <t>MELLERUD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22364-2026</t>
        </is>
      </c>
      <c r="B198" t="inlineStr">
        <is>
          <t>avverkningsanmälan</t>
        </is>
      </c>
      <c r="C198" t="inlineStr">
        <is>
          <t>Föryngringsavverkning</t>
        </is>
      </c>
      <c r="D198" s="1" t="n">
        <v>46154</v>
      </c>
      <c r="E198" s="1" t="n">
        <v>46300</v>
      </c>
      <c r="F198" t="inlineStr">
        <is>
          <t>VÄSTRA GÖTALANDS LÄN</t>
        </is>
      </c>
      <c r="G198" t="inlineStr">
        <is>
          <t>MELLERUD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22337-2026</t>
        </is>
      </c>
      <c r="B199" t="inlineStr">
        <is>
          <t>avverkningsanmälan</t>
        </is>
      </c>
      <c r="C199" t="inlineStr">
        <is>
          <t>Föryngringsavverkning</t>
        </is>
      </c>
      <c r="D199" s="1" t="n">
        <v>46154</v>
      </c>
      <c r="E199" s="1" t="n">
        <v>46300</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16746-2023</t>
        </is>
      </c>
      <c r="B200" t="inlineStr">
        <is>
          <t>avverkningsanmälan</t>
        </is>
      </c>
      <c r="C200" t="inlineStr">
        <is>
          <t>Föryngringsavverkning</t>
        </is>
      </c>
      <c r="D200" s="1" t="n">
        <v>45030</v>
      </c>
      <c r="E200" s="1" t="n">
        <v>46300</v>
      </c>
      <c r="F200" t="inlineStr">
        <is>
          <t>VÄSTRA GÖTALANDS LÄN</t>
        </is>
      </c>
      <c r="G200" t="inlineStr">
        <is>
          <t>MELLERUD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12334-2024</t>
        </is>
      </c>
      <c r="B201" t="inlineStr">
        <is>
          <t>avverkningsanmälan</t>
        </is>
      </c>
      <c r="C201" t="inlineStr">
        <is>
          <t>Föryngringsavverkning</t>
        </is>
      </c>
      <c r="D201" s="1" t="n">
        <v>45378</v>
      </c>
      <c r="E201" s="1" t="n">
        <v>46300</v>
      </c>
      <c r="F201" t="inlineStr">
        <is>
          <t>VÄSTRA GÖTALANDS LÄN</t>
        </is>
      </c>
      <c r="G201" t="inlineStr">
        <is>
          <t>MELLERUD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1369-2025</t>
        </is>
      </c>
      <c r="B202" t="inlineStr">
        <is>
          <t>avverkningsanmälan</t>
        </is>
      </c>
      <c r="C202" t="inlineStr">
        <is>
          <t>Föryngringsavverkning</t>
        </is>
      </c>
      <c r="D202" s="1" t="n">
        <v>45667</v>
      </c>
      <c r="E202" s="1" t="n">
        <v>46300</v>
      </c>
      <c r="F202" t="inlineStr">
        <is>
          <t>VÄSTRA GÖTALANDS LÄN</t>
        </is>
      </c>
      <c r="G202" t="inlineStr">
        <is>
          <t>MELLERUD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32832-2024</t>
        </is>
      </c>
      <c r="B203" t="inlineStr">
        <is>
          <t>avverkningsanmälan</t>
        </is>
      </c>
      <c r="C203" t="inlineStr">
        <is>
          <t>Föryngringsavverkning</t>
        </is>
      </c>
      <c r="D203" s="1" t="n">
        <v>45516</v>
      </c>
      <c r="E203" s="1" t="n">
        <v>46300</v>
      </c>
      <c r="F203" t="inlineStr">
        <is>
          <t>VÄSTRA GÖTALANDS LÄN</t>
        </is>
      </c>
      <c r="G203" t="inlineStr">
        <is>
          <t>MELLERUD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12713-2022</t>
        </is>
      </c>
      <c r="B204" t="inlineStr">
        <is>
          <t>avverkningsanmälan</t>
        </is>
      </c>
      <c r="C204" t="inlineStr">
        <is>
          <t>Föryngringsavverkning</t>
        </is>
      </c>
      <c r="D204" s="1" t="n">
        <v>44641</v>
      </c>
      <c r="E204" s="1" t="n">
        <v>46300</v>
      </c>
      <c r="F204" t="inlineStr">
        <is>
          <t>VÄSTRA GÖTALANDS LÄN</t>
        </is>
      </c>
      <c r="G204" t="inlineStr">
        <is>
          <t>MELLERUD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59865-2024</t>
        </is>
      </c>
      <c r="B205" t="inlineStr">
        <is>
          <t>avverkningsanmälan</t>
        </is>
      </c>
      <c r="C205" t="inlineStr">
        <is>
          <t>Föryngringsavverkning</t>
        </is>
      </c>
      <c r="D205" s="1" t="n">
        <v>45639</v>
      </c>
      <c r="E205" s="1" t="n">
        <v>46300</v>
      </c>
      <c r="F205" t="inlineStr">
        <is>
          <t>VÄSTRA GÖTALANDS LÄN</t>
        </is>
      </c>
      <c r="G205" t="inlineStr">
        <is>
          <t>MELLERUD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51436-2025</t>
        </is>
      </c>
      <c r="B206" t="inlineStr">
        <is>
          <t>avverkningsanmälan</t>
        </is>
      </c>
      <c r="C206" t="inlineStr">
        <is>
          <t>Föryngringsavverkning</t>
        </is>
      </c>
      <c r="D206" s="1" t="n">
        <v>45950</v>
      </c>
      <c r="E206" s="1" t="n">
        <v>46300</v>
      </c>
      <c r="F206" t="inlineStr">
        <is>
          <t>VÄSTRA GÖTALANDS LÄN</t>
        </is>
      </c>
      <c r="G206" t="inlineStr">
        <is>
          <t>MELLERUD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36963-2025</t>
        </is>
      </c>
      <c r="B207" t="inlineStr">
        <is>
          <t>avverkningsanmälan</t>
        </is>
      </c>
      <c r="C207" t="inlineStr">
        <is>
          <t>Föryngringsavverkning</t>
        </is>
      </c>
      <c r="D207" s="1" t="n">
        <v>45874</v>
      </c>
      <c r="E207" s="1" t="n">
        <v>46300</v>
      </c>
      <c r="F207" t="inlineStr">
        <is>
          <t>VÄSTRA GÖTALANDS LÄN</t>
        </is>
      </c>
      <c r="G207" t="inlineStr">
        <is>
          <t>MELLERUD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28863-2025</t>
        </is>
      </c>
      <c r="B208" t="inlineStr">
        <is>
          <t>avverkningsanmälan</t>
        </is>
      </c>
      <c r="C208" t="inlineStr">
        <is>
          <t>Föryngringsavverkning</t>
        </is>
      </c>
      <c r="D208" s="1" t="n">
        <v>45820</v>
      </c>
      <c r="E208" s="1" t="n">
        <v>46300</v>
      </c>
      <c r="F208" t="inlineStr">
        <is>
          <t>VÄSTRA GÖTALANDS LÄN</t>
        </is>
      </c>
      <c r="G208" t="inlineStr">
        <is>
          <t>MELLERUD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11219-2024</t>
        </is>
      </c>
      <c r="B209" t="inlineStr">
        <is>
          <t>avverkningsanmälan</t>
        </is>
      </c>
      <c r="C209" t="inlineStr">
        <is>
          <t>Föryngringsavverkning</t>
        </is>
      </c>
      <c r="D209" s="1" t="n">
        <v>45371</v>
      </c>
      <c r="E209" s="1" t="n">
        <v>46300</v>
      </c>
      <c r="F209" t="inlineStr">
        <is>
          <t>VÄSTRA GÖTALANDS LÄN</t>
        </is>
      </c>
      <c r="G209" t="inlineStr">
        <is>
          <t>MELLERUD</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18205-2024</t>
        </is>
      </c>
      <c r="B210" t="inlineStr">
        <is>
          <t>avverkningsanmälan</t>
        </is>
      </c>
      <c r="C210" t="inlineStr">
        <is>
          <t>Föryngringsavverkning</t>
        </is>
      </c>
      <c r="D210" s="1" t="n">
        <v>45420</v>
      </c>
      <c r="E210" s="1" t="n">
        <v>46300</v>
      </c>
      <c r="F210" t="inlineStr">
        <is>
          <t>VÄSTRA GÖTALANDS LÄN</t>
        </is>
      </c>
      <c r="G210" t="inlineStr">
        <is>
          <t>MELLERUD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59269-2025</t>
        </is>
      </c>
      <c r="B211" t="inlineStr">
        <is>
          <t>avverkningsanmälan</t>
        </is>
      </c>
      <c r="C211" t="inlineStr">
        <is>
          <t>Föryngringsavverkning</t>
        </is>
      </c>
      <c r="D211" s="1" t="n">
        <v>45988</v>
      </c>
      <c r="E211" s="1" t="n">
        <v>46300</v>
      </c>
      <c r="F211" t="inlineStr">
        <is>
          <t>VÄSTRA GÖTALANDS LÄN</t>
        </is>
      </c>
      <c r="G211" t="inlineStr">
        <is>
          <t>MELLERUD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52471-2023</t>
        </is>
      </c>
      <c r="B212" t="inlineStr">
        <is>
          <t>avverkningsanmälan</t>
        </is>
      </c>
      <c r="C212" t="inlineStr">
        <is>
          <t>Föryngringsavverkning</t>
        </is>
      </c>
      <c r="D212" s="1" t="n">
        <v>45225</v>
      </c>
      <c r="E212" s="1" t="n">
        <v>46300</v>
      </c>
      <c r="F212" t="inlineStr">
        <is>
          <t>VÄSTRA GÖTALANDS LÄN</t>
        </is>
      </c>
      <c r="G212" t="inlineStr">
        <is>
          <t>MELLERUD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25036-2026</t>
        </is>
      </c>
      <c r="B213" t="inlineStr">
        <is>
          <t>avverkningsanmälan</t>
        </is>
      </c>
      <c r="C213" t="inlineStr">
        <is>
          <t>Föryngringsavverkning</t>
        </is>
      </c>
      <c r="D213" s="1" t="n">
        <v>46174</v>
      </c>
      <c r="E213" s="1" t="n">
        <v>46300</v>
      </c>
      <c r="F213" t="inlineStr">
        <is>
          <t>VÄSTRA GÖTALANDS LÄN</t>
        </is>
      </c>
      <c r="G213" t="inlineStr">
        <is>
          <t>MELLERUD</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38663-2025</t>
        </is>
      </c>
      <c r="B214" t="inlineStr">
        <is>
          <t>avverkningsanmälan</t>
        </is>
      </c>
      <c r="C214" t="inlineStr">
        <is>
          <t>Föryngringsavverkning</t>
        </is>
      </c>
      <c r="D214" s="1" t="n">
        <v>45884</v>
      </c>
      <c r="E214" s="1" t="n">
        <v>46300</v>
      </c>
      <c r="F214" t="inlineStr">
        <is>
          <t>VÄSTRA GÖTALANDS LÄN</t>
        </is>
      </c>
      <c r="G214" t="inlineStr">
        <is>
          <t>MELLERUD</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36138-2025</t>
        </is>
      </c>
      <c r="B215" t="inlineStr">
        <is>
          <t>avverkningsanmälan</t>
        </is>
      </c>
      <c r="C215" t="inlineStr">
        <is>
          <t>Föryngringsavverkning</t>
        </is>
      </c>
      <c r="D215" s="1" t="n">
        <v>45866</v>
      </c>
      <c r="E215" s="1" t="n">
        <v>46300</v>
      </c>
      <c r="F215" t="inlineStr">
        <is>
          <t>VÄSTRA GÖTALANDS LÄN</t>
        </is>
      </c>
      <c r="G215" t="inlineStr">
        <is>
          <t>MELLERUD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25458-2026</t>
        </is>
      </c>
      <c r="B216" t="inlineStr">
        <is>
          <t>avverkningsanmälan</t>
        </is>
      </c>
      <c r="C216" t="inlineStr">
        <is>
          <t>Föryngringsavverkning</t>
        </is>
      </c>
      <c r="D216" s="1" t="n">
        <v>46177</v>
      </c>
      <c r="E216" s="1" t="n">
        <v>46300</v>
      </c>
      <c r="F216" t="inlineStr">
        <is>
          <t>VÄSTRA GÖTALANDS LÄN</t>
        </is>
      </c>
      <c r="G216" t="inlineStr">
        <is>
          <t>MELLERUD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10428-2022</t>
        </is>
      </c>
      <c r="B217" t="inlineStr">
        <is>
          <t>avverkningsanmälan</t>
        </is>
      </c>
      <c r="C217" t="inlineStr">
        <is>
          <t>Föryngringsavverkning</t>
        </is>
      </c>
      <c r="D217" s="1" t="n">
        <v>44623</v>
      </c>
      <c r="E217" s="1" t="n">
        <v>46300</v>
      </c>
      <c r="F217" t="inlineStr">
        <is>
          <t>VÄSTRA GÖTALANDS LÄN</t>
        </is>
      </c>
      <c r="G217" t="inlineStr">
        <is>
          <t>MELLERUD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25954-2026</t>
        </is>
      </c>
      <c r="B218" t="inlineStr">
        <is>
          <t>avverkningsanmälan</t>
        </is>
      </c>
      <c r="C218" t="inlineStr">
        <is>
          <t>Föryngringsavverkning</t>
        </is>
      </c>
      <c r="D218" s="1" t="n">
        <v>46181</v>
      </c>
      <c r="E218" s="1" t="n">
        <v>46300</v>
      </c>
      <c r="F218" t="inlineStr">
        <is>
          <t>VÄSTRA GÖTALANDS LÄN</t>
        </is>
      </c>
      <c r="G218" t="inlineStr">
        <is>
          <t>MELLERUD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26536-2026</t>
        </is>
      </c>
      <c r="B219" t="inlineStr">
        <is>
          <t>avverkningsanmälan</t>
        </is>
      </c>
      <c r="C219" t="inlineStr">
        <is>
          <t>Föryngringsavverkning</t>
        </is>
      </c>
      <c r="D219" s="1" t="n">
        <v>46183</v>
      </c>
      <c r="E219" s="1" t="n">
        <v>46300</v>
      </c>
      <c r="F219" t="inlineStr">
        <is>
          <t>VÄSTRA GÖTALANDS LÄN</t>
        </is>
      </c>
      <c r="G219" t="inlineStr">
        <is>
          <t>MELLERUD</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26527-2026</t>
        </is>
      </c>
      <c r="B220" t="inlineStr">
        <is>
          <t>avverkningsanmälan</t>
        </is>
      </c>
      <c r="C220" t="inlineStr">
        <is>
          <t>Föryngringsavverkning</t>
        </is>
      </c>
      <c r="D220" s="1" t="n">
        <v>46183</v>
      </c>
      <c r="E220" s="1" t="n">
        <v>46300</v>
      </c>
      <c r="F220" t="inlineStr">
        <is>
          <t>VÄSTRA GÖTALANDS LÄN</t>
        </is>
      </c>
      <c r="G220" t="inlineStr">
        <is>
          <t>MELLERUD</t>
        </is>
      </c>
      <c r="H220" t="inlineStr">
        <is>
          <t>Kommuner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54796-2022</t>
        </is>
      </c>
      <c r="B221" t="inlineStr">
        <is>
          <t>avverkningsanmälan</t>
        </is>
      </c>
      <c r="C221" t="inlineStr">
        <is>
          <t>Föryngringsavverkning</t>
        </is>
      </c>
      <c r="D221" s="1" t="n">
        <v>44883</v>
      </c>
      <c r="E221" s="1" t="n">
        <v>46300</v>
      </c>
      <c r="F221" t="inlineStr">
        <is>
          <t>VÄSTRA GÖTALANDS LÄN</t>
        </is>
      </c>
      <c r="G221" t="inlineStr">
        <is>
          <t>MELLERUD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53573-2023</t>
        </is>
      </c>
      <c r="B222" t="inlineStr">
        <is>
          <t>avverkningsanmälan</t>
        </is>
      </c>
      <c r="C222" t="inlineStr">
        <is>
          <t>Föryngringsavverkning</t>
        </is>
      </c>
      <c r="D222" s="1" t="n">
        <v>45230</v>
      </c>
      <c r="E222" s="1" t="n">
        <v>46300</v>
      </c>
      <c r="F222" t="inlineStr">
        <is>
          <t>VÄSTRA GÖTALANDS LÄN</t>
        </is>
      </c>
      <c r="G222" t="inlineStr">
        <is>
          <t>MELLERUD</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34116-2023</t>
        </is>
      </c>
      <c r="B223" t="inlineStr">
        <is>
          <t>avverkningsanmälan</t>
        </is>
      </c>
      <c r="C223" t="inlineStr">
        <is>
          <t>Avverkning för annat ändamål</t>
        </is>
      </c>
      <c r="D223" s="1" t="n">
        <v>45126</v>
      </c>
      <c r="E223" s="1" t="n">
        <v>46300</v>
      </c>
      <c r="F223" t="inlineStr">
        <is>
          <t>VÄSTRA GÖTALANDS LÄN</t>
        </is>
      </c>
      <c r="G223" t="inlineStr">
        <is>
          <t>MELLERUD</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1883-2023</t>
        </is>
      </c>
      <c r="B224" t="inlineStr">
        <is>
          <t>avverkningsanmälan</t>
        </is>
      </c>
      <c r="C224" t="inlineStr">
        <is>
          <t>Föryngringsavverkning</t>
        </is>
      </c>
      <c r="D224" s="1" t="n">
        <v>44939</v>
      </c>
      <c r="E224" s="1" t="n">
        <v>46300</v>
      </c>
      <c r="F224" t="inlineStr">
        <is>
          <t>VÄSTRA GÖTALANDS LÄN</t>
        </is>
      </c>
      <c r="G224" t="inlineStr">
        <is>
          <t>MELLERUD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46300</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20578-2026</t>
        </is>
      </c>
      <c r="B226" t="inlineStr">
        <is>
          <t>avverkningsanmälan</t>
        </is>
      </c>
      <c r="C226" t="inlineStr">
        <is>
          <t>Föryngringsavverkning</t>
        </is>
      </c>
      <c r="D226" s="1" t="n">
        <v>46140</v>
      </c>
      <c r="E226" s="1" t="n">
        <v>46300</v>
      </c>
      <c r="F226" t="inlineStr">
        <is>
          <t>VÄSTRA GÖTALANDS LÄN</t>
        </is>
      </c>
      <c r="G226" t="inlineStr">
        <is>
          <t>MELLERUD</t>
        </is>
      </c>
      <c r="H226" t="inlineStr">
        <is>
          <t>Kommuner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29936-2026</t>
        </is>
      </c>
      <c r="B227" t="inlineStr">
        <is>
          <t>avverkningsanmälan</t>
        </is>
      </c>
      <c r="C227" t="inlineStr">
        <is>
          <t>Föryngringsavverkning</t>
        </is>
      </c>
      <c r="D227" s="1" t="n">
        <v>46205</v>
      </c>
      <c r="E227" s="1" t="n">
        <v>46300</v>
      </c>
      <c r="F227" t="inlineStr">
        <is>
          <t>VÄSTRA GÖTALANDS LÄN</t>
        </is>
      </c>
      <c r="G227" t="inlineStr">
        <is>
          <t>MELLERUD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29939-2026</t>
        </is>
      </c>
      <c r="B228" t="inlineStr">
        <is>
          <t>avverkningsanmälan</t>
        </is>
      </c>
      <c r="C228" t="inlineStr">
        <is>
          <t>Föryngringsavverkning</t>
        </is>
      </c>
      <c r="D228" s="1" t="n">
        <v>46205</v>
      </c>
      <c r="E228" s="1" t="n">
        <v>46300</v>
      </c>
      <c r="F228" t="inlineStr">
        <is>
          <t>VÄSTRA GÖTALANDS LÄN</t>
        </is>
      </c>
      <c r="G228" t="inlineStr">
        <is>
          <t>MELLERUD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27510-2023</t>
        </is>
      </c>
      <c r="B229" t="inlineStr">
        <is>
          <t>avverkningsanmälan</t>
        </is>
      </c>
      <c r="C229" t="inlineStr">
        <is>
          <t>Föryngringsavverkning</t>
        </is>
      </c>
      <c r="D229" s="1" t="n">
        <v>45097</v>
      </c>
      <c r="E229" s="1" t="n">
        <v>46300</v>
      </c>
      <c r="F229" t="inlineStr">
        <is>
          <t>VÄSTRA GÖTALANDS LÄN</t>
        </is>
      </c>
      <c r="G229" t="inlineStr">
        <is>
          <t>MELLERUD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334-2023</t>
        </is>
      </c>
      <c r="B230" t="inlineStr">
        <is>
          <t>avverkningsanmälan</t>
        </is>
      </c>
      <c r="C230" t="inlineStr">
        <is>
          <t>Föryngringsavverkning</t>
        </is>
      </c>
      <c r="D230" s="1" t="n">
        <v>44929</v>
      </c>
      <c r="E230" s="1" t="n">
        <v>46300</v>
      </c>
      <c r="F230" t="inlineStr">
        <is>
          <t>VÄSTRA GÖTALANDS LÄN</t>
        </is>
      </c>
      <c r="G230" t="inlineStr">
        <is>
          <t>MELLERUD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32299-2024</t>
        </is>
      </c>
      <c r="B231" t="inlineStr">
        <is>
          <t>avverkningsanmälan</t>
        </is>
      </c>
      <c r="C231" t="inlineStr">
        <is>
          <t>Föryngringsavverkning</t>
        </is>
      </c>
      <c r="D231" s="1" t="n">
        <v>45512</v>
      </c>
      <c r="E231" s="1" t="n">
        <v>46300</v>
      </c>
      <c r="F231" t="inlineStr">
        <is>
          <t>VÄSTRA GÖTALANDS LÄN</t>
        </is>
      </c>
      <c r="G231" t="inlineStr">
        <is>
          <t>MELLERUD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32498-2024</t>
        </is>
      </c>
      <c r="B232" t="inlineStr">
        <is>
          <t>avverkningsanmälan</t>
        </is>
      </c>
      <c r="C232" t="inlineStr">
        <is>
          <t>Föryngringsavverkning</t>
        </is>
      </c>
      <c r="D232" s="1" t="n">
        <v>45513</v>
      </c>
      <c r="E232" s="1" t="n">
        <v>46300</v>
      </c>
      <c r="F232" t="inlineStr">
        <is>
          <t>VÄSTRA GÖTALANDS LÄN</t>
        </is>
      </c>
      <c r="G232" t="inlineStr">
        <is>
          <t>MELLERUD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43353-2024</t>
        </is>
      </c>
      <c r="B233" t="inlineStr">
        <is>
          <t>avverkningsanmälan</t>
        </is>
      </c>
      <c r="C233" t="inlineStr">
        <is>
          <t>Föryngringsavverkning</t>
        </is>
      </c>
      <c r="D233" s="1" t="n">
        <v>45568</v>
      </c>
      <c r="E233" s="1" t="n">
        <v>46300</v>
      </c>
      <c r="F233" t="inlineStr">
        <is>
          <t>VÄSTRA GÖTALANDS LÄN</t>
        </is>
      </c>
      <c r="G233" t="inlineStr">
        <is>
          <t>MELLERUD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51916-2022</t>
        </is>
      </c>
      <c r="B234" t="inlineStr">
        <is>
          <t>avverkningsanmälan</t>
        </is>
      </c>
      <c r="C234" t="inlineStr">
        <is>
          <t>Avverkning för annat ändamål</t>
        </is>
      </c>
      <c r="D234" s="1" t="n">
        <v>44868</v>
      </c>
      <c r="E234" s="1" t="n">
        <v>46300</v>
      </c>
      <c r="F234" t="inlineStr">
        <is>
          <t>VÄSTRA GÖTALANDS LÄN</t>
        </is>
      </c>
      <c r="G234" t="inlineStr">
        <is>
          <t>MELLERUD</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46300</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33666-2023</t>
        </is>
      </c>
      <c r="B236" t="inlineStr">
        <is>
          <t>avverkningsanmälan</t>
        </is>
      </c>
      <c r="C236" t="inlineStr">
        <is>
          <t>Föryngringsavverkning</t>
        </is>
      </c>
      <c r="D236" s="1" t="n">
        <v>45132</v>
      </c>
      <c r="E236" s="1" t="n">
        <v>46300</v>
      </c>
      <c r="F236" t="inlineStr">
        <is>
          <t>VÄSTRA GÖTALANDS LÄN</t>
        </is>
      </c>
      <c r="G236" t="inlineStr">
        <is>
          <t>MELLERUD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36960-2026</t>
        </is>
      </c>
      <c r="B237" t="inlineStr">
        <is>
          <t>avverkningsanmälan</t>
        </is>
      </c>
      <c r="C237" t="inlineStr">
        <is>
          <t>Föryngringsavverkning</t>
        </is>
      </c>
      <c r="D237" s="1" t="n">
        <v>46273</v>
      </c>
      <c r="E237" s="1" t="n">
        <v>46300</v>
      </c>
      <c r="F237" t="inlineStr">
        <is>
          <t>VÄSTRA GÖTALANDS LÄN</t>
        </is>
      </c>
      <c r="G237" t="inlineStr">
        <is>
          <t>MELLERUD</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51785-2023</t>
        </is>
      </c>
      <c r="B238" t="inlineStr">
        <is>
          <t>avverkningsanmälan</t>
        </is>
      </c>
      <c r="C238" t="inlineStr">
        <is>
          <t>Föryngringsavverkning</t>
        </is>
      </c>
      <c r="D238" s="1" t="n">
        <v>45222</v>
      </c>
      <c r="E238" s="1" t="n">
        <v>46300</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31889-2026</t>
        </is>
      </c>
      <c r="B239" t="inlineStr">
        <is>
          <t>avverkningsanmälan</t>
        </is>
      </c>
      <c r="C239" t="inlineStr">
        <is>
          <t>Föryngringsavverkning</t>
        </is>
      </c>
      <c r="D239" s="1" t="n">
        <v>46231</v>
      </c>
      <c r="E239" s="1" t="n">
        <v>46300</v>
      </c>
      <c r="F239" t="inlineStr">
        <is>
          <t>VÄSTRA GÖTALANDS LÄN</t>
        </is>
      </c>
      <c r="G239" t="inlineStr">
        <is>
          <t>MELLERUD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38251-2026</t>
        </is>
      </c>
      <c r="B240" t="inlineStr">
        <is>
          <t>avverkningsanmälan</t>
        </is>
      </c>
      <c r="C240" t="inlineStr">
        <is>
          <t>Föryngringsavverkning</t>
        </is>
      </c>
      <c r="D240" s="1" t="n">
        <v>46281</v>
      </c>
      <c r="E240" s="1" t="n">
        <v>46300</v>
      </c>
      <c r="F240" t="inlineStr">
        <is>
          <t>VÄSTRA GÖTALANDS LÄN</t>
        </is>
      </c>
      <c r="G240" t="inlineStr">
        <is>
          <t>MELLERUD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32520-2026</t>
        </is>
      </c>
      <c r="B241" t="inlineStr">
        <is>
          <t>avverkningsanmälan</t>
        </is>
      </c>
      <c r="C241" t="inlineStr">
        <is>
          <t>Föryngringsavverkning</t>
        </is>
      </c>
      <c r="D241" s="1" t="n">
        <v>46239</v>
      </c>
      <c r="E241" s="1" t="n">
        <v>46300</v>
      </c>
      <c r="F241" t="inlineStr">
        <is>
          <t>VÄSTRA GÖTALANDS LÄN</t>
        </is>
      </c>
      <c r="G241" t="inlineStr">
        <is>
          <t>MELLERUD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32691-2026</t>
        </is>
      </c>
      <c r="B242" t="inlineStr">
        <is>
          <t>avverkningsanmälan</t>
        </is>
      </c>
      <c r="C242" t="inlineStr">
        <is>
          <t>Föryngringsavverkning</t>
        </is>
      </c>
      <c r="D242" s="1" t="n">
        <v>46240</v>
      </c>
      <c r="E242" s="1" t="n">
        <v>46300</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33092-2023</t>
        </is>
      </c>
      <c r="B243" t="inlineStr">
        <is>
          <t>avverkningsanmälan</t>
        </is>
      </c>
      <c r="C243" t="inlineStr">
        <is>
          <t>Föryngringsavverkning</t>
        </is>
      </c>
      <c r="D243" s="1" t="n">
        <v>45126</v>
      </c>
      <c r="E243" s="1" t="n">
        <v>46300</v>
      </c>
      <c r="F243" t="inlineStr">
        <is>
          <t>VÄSTRA GÖTALANDS LÄN</t>
        </is>
      </c>
      <c r="G243" t="inlineStr">
        <is>
          <t>MELLERUD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55391-2023</t>
        </is>
      </c>
      <c r="B244" t="inlineStr">
        <is>
          <t>avverkningsanmälan</t>
        </is>
      </c>
      <c r="C244" t="inlineStr">
        <is>
          <t>Föryngringsavverkning</t>
        </is>
      </c>
      <c r="D244" s="1" t="n">
        <v>45238</v>
      </c>
      <c r="E244" s="1" t="n">
        <v>46300</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38040-2025</t>
        </is>
      </c>
      <c r="B245" t="inlineStr">
        <is>
          <t>avverkningsanmälan</t>
        </is>
      </c>
      <c r="C245" t="inlineStr">
        <is>
          <t>Föryngringsavverkning</t>
        </is>
      </c>
      <c r="D245" s="1" t="n">
        <v>45882</v>
      </c>
      <c r="E245" s="1" t="n">
        <v>46300</v>
      </c>
      <c r="F245" t="inlineStr">
        <is>
          <t>VÄSTRA GÖTALANDS LÄN</t>
        </is>
      </c>
      <c r="G245" t="inlineStr">
        <is>
          <t>MELLERUD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15971-2023</t>
        </is>
      </c>
      <c r="B246" t="inlineStr">
        <is>
          <t>avverkningsanmälan</t>
        </is>
      </c>
      <c r="C246" t="inlineStr">
        <is>
          <t>Föryngringsavverkning</t>
        </is>
      </c>
      <c r="D246" s="1" t="n">
        <v>45022</v>
      </c>
      <c r="E246" s="1" t="n">
        <v>46300</v>
      </c>
      <c r="F246" t="inlineStr">
        <is>
          <t>VÄSTRA GÖTALANDS LÄN</t>
        </is>
      </c>
      <c r="G246" t="inlineStr">
        <is>
          <t>MELLERUD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53317-2024</t>
        </is>
      </c>
      <c r="B247" t="inlineStr">
        <is>
          <t>avverkningsanmälan</t>
        </is>
      </c>
      <c r="C247" t="inlineStr">
        <is>
          <t>Föryngringsavverkning</t>
        </is>
      </c>
      <c r="D247" s="1" t="n">
        <v>45614</v>
      </c>
      <c r="E247" s="1" t="n">
        <v>46300</v>
      </c>
      <c r="F247" t="inlineStr">
        <is>
          <t>VÄSTRA GÖTALANDS LÄN</t>
        </is>
      </c>
      <c r="G247" t="inlineStr">
        <is>
          <t>MELLERUD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73351-2021</t>
        </is>
      </c>
      <c r="B248" t="inlineStr">
        <is>
          <t>avverkningsanmälan</t>
        </is>
      </c>
      <c r="C248" t="inlineStr">
        <is>
          <t>Föryngringsavverkning</t>
        </is>
      </c>
      <c r="D248" s="1" t="n">
        <v>44551</v>
      </c>
      <c r="E248" s="1" t="n">
        <v>46300</v>
      </c>
      <c r="F248" t="inlineStr">
        <is>
          <t>VÄSTRA GÖTALANDS LÄN</t>
        </is>
      </c>
      <c r="G248" t="inlineStr">
        <is>
          <t>MELLERUD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33450-2026</t>
        </is>
      </c>
      <c r="B249" t="inlineStr">
        <is>
          <t>avverkningsanmälan</t>
        </is>
      </c>
      <c r="C249" t="inlineStr">
        <is>
          <t>Föryngringsavverkning</t>
        </is>
      </c>
      <c r="D249" s="1" t="n">
        <v>46246</v>
      </c>
      <c r="E249" s="1" t="n">
        <v>46300</v>
      </c>
      <c r="F249" t="inlineStr">
        <is>
          <t>VÄSTRA GÖTALANDS LÄN</t>
        </is>
      </c>
      <c r="G249" t="inlineStr">
        <is>
          <t>MELLERUD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26428-2022</t>
        </is>
      </c>
      <c r="B250" t="inlineStr">
        <is>
          <t>avverkningsanmälan</t>
        </is>
      </c>
      <c r="C250" t="inlineStr">
        <is>
          <t>Föryngringsavverkning</t>
        </is>
      </c>
      <c r="D250" s="1" t="n">
        <v>44736</v>
      </c>
      <c r="E250" s="1" t="n">
        <v>46300</v>
      </c>
      <c r="F250" t="inlineStr">
        <is>
          <t>VÄSTRA GÖTALANDS LÄN</t>
        </is>
      </c>
      <c r="G250" t="inlineStr">
        <is>
          <t>MELLERUD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56349-2025</t>
        </is>
      </c>
      <c r="B251" t="inlineStr">
        <is>
          <t>avverkningsanmälan</t>
        </is>
      </c>
      <c r="C251" t="inlineStr">
        <is>
          <t>Föryngringsavverkning</t>
        </is>
      </c>
      <c r="D251" s="1" t="n">
        <v>45974</v>
      </c>
      <c r="E251" s="1" t="n">
        <v>46300</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21618-2024</t>
        </is>
      </c>
      <c r="B252" t="inlineStr">
        <is>
          <t>avverkningsanmälan</t>
        </is>
      </c>
      <c r="C252" t="inlineStr">
        <is>
          <t>Föryngringsavverkning</t>
        </is>
      </c>
      <c r="D252" s="1" t="n">
        <v>45442</v>
      </c>
      <c r="E252" s="1" t="n">
        <v>46300</v>
      </c>
      <c r="F252" t="inlineStr">
        <is>
          <t>VÄSTRA GÖTALANDS LÄN</t>
        </is>
      </c>
      <c r="G252" t="inlineStr">
        <is>
          <t>MELLERUD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21620-2024</t>
        </is>
      </c>
      <c r="B253" t="inlineStr">
        <is>
          <t>avverkningsanmälan</t>
        </is>
      </c>
      <c r="C253" t="inlineStr">
        <is>
          <t>Föryngringsavverkning</t>
        </is>
      </c>
      <c r="D253" s="1" t="n">
        <v>45442</v>
      </c>
      <c r="E253" s="1" t="n">
        <v>46300</v>
      </c>
      <c r="F253" t="inlineStr">
        <is>
          <t>VÄSTRA GÖTALANDS LÄN</t>
        </is>
      </c>
      <c r="G253" t="inlineStr">
        <is>
          <t>MELLERUD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26530-2023</t>
        </is>
      </c>
      <c r="B254" t="inlineStr">
        <is>
          <t>avverkningsanmälan</t>
        </is>
      </c>
      <c r="C254" t="inlineStr">
        <is>
          <t>Föryngringsavverkning</t>
        </is>
      </c>
      <c r="D254" s="1" t="n">
        <v>45092</v>
      </c>
      <c r="E254" s="1" t="n">
        <v>46300</v>
      </c>
      <c r="F254" t="inlineStr">
        <is>
          <t>VÄSTRA GÖTALANDS LÄN</t>
        </is>
      </c>
      <c r="G254" t="inlineStr">
        <is>
          <t>MELLERUD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34065-2026</t>
        </is>
      </c>
      <c r="B255" t="inlineStr">
        <is>
          <t>avverkningsanmälan</t>
        </is>
      </c>
      <c r="C255" t="inlineStr">
        <is>
          <t>Föryngringsavverkning</t>
        </is>
      </c>
      <c r="D255" s="1" t="n">
        <v>46252</v>
      </c>
      <c r="E255" s="1" t="n">
        <v>46300</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18854-2023</t>
        </is>
      </c>
      <c r="B256" t="inlineStr">
        <is>
          <t>avverkningsanmälan</t>
        </is>
      </c>
      <c r="C256" t="inlineStr">
        <is>
          <t>Föryngringsavverkning</t>
        </is>
      </c>
      <c r="D256" s="1" t="n">
        <v>45042</v>
      </c>
      <c r="E256" s="1" t="n">
        <v>46300</v>
      </c>
      <c r="F256" t="inlineStr">
        <is>
          <t>VÄSTRA GÖTALANDS LÄN</t>
        </is>
      </c>
      <c r="G256" t="inlineStr">
        <is>
          <t>MELLERUD</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14568-2022</t>
        </is>
      </c>
      <c r="B257" t="inlineStr">
        <is>
          <t>avverkningsanmälan</t>
        </is>
      </c>
      <c r="C257" t="inlineStr">
        <is>
          <t>Föryngringsavverkning</t>
        </is>
      </c>
      <c r="D257" s="1" t="n">
        <v>44655</v>
      </c>
      <c r="E257" s="1" t="n">
        <v>46300</v>
      </c>
      <c r="F257" t="inlineStr">
        <is>
          <t>VÄSTRA GÖTALANDS LÄN</t>
        </is>
      </c>
      <c r="G257" t="inlineStr">
        <is>
          <t>MELLERUD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61811-2023</t>
        </is>
      </c>
      <c r="B258" t="inlineStr">
        <is>
          <t>avverkningsanmälan</t>
        </is>
      </c>
      <c r="C258" t="inlineStr">
        <is>
          <t>Föryngringsavverkning</t>
        </is>
      </c>
      <c r="D258" s="1" t="n">
        <v>45264</v>
      </c>
      <c r="E258" s="1" t="n">
        <v>46300</v>
      </c>
      <c r="F258" t="inlineStr">
        <is>
          <t>VÄSTRA GÖTALANDS LÄN</t>
        </is>
      </c>
      <c r="G258" t="inlineStr">
        <is>
          <t>MELLERUD</t>
        </is>
      </c>
      <c r="H258" t="inlineStr">
        <is>
          <t>Övriga Aktiebolag</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25399-2023</t>
        </is>
      </c>
      <c r="B259" t="inlineStr">
        <is>
          <t>avverkningsanmälan</t>
        </is>
      </c>
      <c r="C259" t="inlineStr">
        <is>
          <t>Avverkning för annat ändamål</t>
        </is>
      </c>
      <c r="D259" s="1" t="n">
        <v>45089</v>
      </c>
      <c r="E259" s="1" t="n">
        <v>46300</v>
      </c>
      <c r="F259" t="inlineStr">
        <is>
          <t>VÄSTRA GÖTALANDS LÄN</t>
        </is>
      </c>
      <c r="G259" t="inlineStr">
        <is>
          <t>MELLERUD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23238-2024</t>
        </is>
      </c>
      <c r="B260" t="inlineStr">
        <is>
          <t>avverkningsanmälan</t>
        </is>
      </c>
      <c r="C260" t="inlineStr">
        <is>
          <t>Föryngringsavverkning</t>
        </is>
      </c>
      <c r="D260" s="1" t="n">
        <v>45453</v>
      </c>
      <c r="E260" s="1" t="n">
        <v>46300</v>
      </c>
      <c r="F260" t="inlineStr">
        <is>
          <t>VÄSTRA GÖTALANDS LÄN</t>
        </is>
      </c>
      <c r="G260" t="inlineStr">
        <is>
          <t>MELLERUD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53270-2024</t>
        </is>
      </c>
      <c r="B261" t="inlineStr">
        <is>
          <t>avverkningsanmälan</t>
        </is>
      </c>
      <c r="C261" t="inlineStr">
        <is>
          <t>Föryngringsavverkning</t>
        </is>
      </c>
      <c r="D261" s="1" t="n">
        <v>45614</v>
      </c>
      <c r="E261" s="1" t="n">
        <v>46300</v>
      </c>
      <c r="F261" t="inlineStr">
        <is>
          <t>VÄSTRA GÖTALANDS LÄN</t>
        </is>
      </c>
      <c r="G261" t="inlineStr">
        <is>
          <t>MELLERUD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17538-2023</t>
        </is>
      </c>
      <c r="B262" t="inlineStr">
        <is>
          <t>avverkningsanmälan</t>
        </is>
      </c>
      <c r="C262" t="inlineStr">
        <is>
          <t>Föryngringsavverkning</t>
        </is>
      </c>
      <c r="D262" s="1" t="n">
        <v>45036</v>
      </c>
      <c r="E262" s="1" t="n">
        <v>46300</v>
      </c>
      <c r="F262" t="inlineStr">
        <is>
          <t>VÄSTRA GÖTALANDS LÄN</t>
        </is>
      </c>
      <c r="G262" t="inlineStr">
        <is>
          <t>MELLERUD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19545-2024</t>
        </is>
      </c>
      <c r="B263" t="inlineStr">
        <is>
          <t>avverkningsanmälan</t>
        </is>
      </c>
      <c r="C263" t="inlineStr">
        <is>
          <t>Föryngringsavverkning</t>
        </is>
      </c>
      <c r="D263" s="1" t="n">
        <v>45429</v>
      </c>
      <c r="E263" s="1" t="n">
        <v>46300</v>
      </c>
      <c r="F263" t="inlineStr">
        <is>
          <t>VÄSTRA GÖTALANDS LÄN</t>
        </is>
      </c>
      <c r="G263" t="inlineStr">
        <is>
          <t>MELLERUD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50441-2023</t>
        </is>
      </c>
      <c r="B264" t="inlineStr">
        <is>
          <t>avverkningsanmälan</t>
        </is>
      </c>
      <c r="C264" t="inlineStr">
        <is>
          <t>Föryngringsavverkning</t>
        </is>
      </c>
      <c r="D264" s="1" t="n">
        <v>45216</v>
      </c>
      <c r="E264" s="1" t="n">
        <v>46300</v>
      </c>
      <c r="F264" t="inlineStr">
        <is>
          <t>VÄSTRA GÖTALANDS LÄN</t>
        </is>
      </c>
      <c r="G264" t="inlineStr">
        <is>
          <t>MELLERUD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10401-2024</t>
        </is>
      </c>
      <c r="B265" t="inlineStr">
        <is>
          <t>avverkningsanmälan</t>
        </is>
      </c>
      <c r="C265" t="inlineStr">
        <is>
          <t>Föryngringsavverkning</t>
        </is>
      </c>
      <c r="D265" s="1" t="n">
        <v>45365</v>
      </c>
      <c r="E265" s="1" t="n">
        <v>46300</v>
      </c>
      <c r="F265" t="inlineStr">
        <is>
          <t>VÄSTRA GÖTALANDS LÄN</t>
        </is>
      </c>
      <c r="G265" t="inlineStr">
        <is>
          <t>MELLERUD</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21689-2025</t>
        </is>
      </c>
      <c r="B266" t="inlineStr">
        <is>
          <t>avverkningsanmälan</t>
        </is>
      </c>
      <c r="C266" t="inlineStr">
        <is>
          <t>Föryngringsavverkning</t>
        </is>
      </c>
      <c r="D266" s="1" t="n">
        <v>45783</v>
      </c>
      <c r="E266" s="1" t="n">
        <v>46300</v>
      </c>
      <c r="F266" t="inlineStr">
        <is>
          <t>VÄSTRA GÖTALANDS LÄN</t>
        </is>
      </c>
      <c r="G266" t="inlineStr">
        <is>
          <t>MELLERUD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21678-2025</t>
        </is>
      </c>
      <c r="B267" t="inlineStr">
        <is>
          <t>avverkningsanmälan</t>
        </is>
      </c>
      <c r="C267" t="inlineStr">
        <is>
          <t>Föryngringsavverkning</t>
        </is>
      </c>
      <c r="D267" s="1" t="n">
        <v>45783</v>
      </c>
      <c r="E267" s="1" t="n">
        <v>46300</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21698-2025</t>
        </is>
      </c>
      <c r="B268" t="inlineStr">
        <is>
          <t>avverkningsanmälan</t>
        </is>
      </c>
      <c r="C268" t="inlineStr">
        <is>
          <t>Föryngringsavverkning</t>
        </is>
      </c>
      <c r="D268" s="1" t="n">
        <v>45783</v>
      </c>
      <c r="E268" s="1" t="n">
        <v>46300</v>
      </c>
      <c r="F268" t="inlineStr">
        <is>
          <t>VÄSTRA GÖTALANDS LÄN</t>
        </is>
      </c>
      <c r="G268" t="inlineStr">
        <is>
          <t>MELLERUD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13313-2024</t>
        </is>
      </c>
      <c r="B269" t="inlineStr">
        <is>
          <t>avverkningsanmälan</t>
        </is>
      </c>
      <c r="C269" t="inlineStr">
        <is>
          <t>Föryngringsavverkning</t>
        </is>
      </c>
      <c r="D269" s="1" t="n">
        <v>45386</v>
      </c>
      <c r="E269" s="1" t="n">
        <v>46300</v>
      </c>
      <c r="F269" t="inlineStr">
        <is>
          <t>VÄSTRA GÖTALANDS LÄN</t>
        </is>
      </c>
      <c r="G269" t="inlineStr">
        <is>
          <t>MELLERUD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27342-2024</t>
        </is>
      </c>
      <c r="B270" t="inlineStr">
        <is>
          <t>avverkningsanmälan</t>
        </is>
      </c>
      <c r="C270" t="inlineStr">
        <is>
          <t>Föryngringsavverkning</t>
        </is>
      </c>
      <c r="D270" s="1" t="n">
        <v>45473</v>
      </c>
      <c r="E270" s="1" t="n">
        <v>46300</v>
      </c>
      <c r="F270" t="inlineStr">
        <is>
          <t>VÄSTRA GÖTALANDS LÄN</t>
        </is>
      </c>
      <c r="G270" t="inlineStr">
        <is>
          <t>MELLERUD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46300</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46300</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46300</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46300</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2026-10-05T01:51:42Z</dcterms:created>
  <dcterms:modified xmlns:dcterms="http://purl.org/dc/terms/" xmlns:xsi="http://www.w3.org/2001/XMLSchema-instance" xsi:type="dcterms:W3CDTF">2026-10-05T01:51:43Z</dcterms:modified>
</cp:coreProperties>
</file>